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port Revenue Build" sheetId="1" state="visible" r:id="rId3"/>
    <sheet name="2. DEC SOTP Valuation" sheetId="2" state="visible" r:id="rId4"/>
    <sheet name="3. GEV Reverse DCF" sheetId="3" state="visible" r:id="rId5"/>
    <sheet name="4. Comparable Companies" sheetId="4" state="visible" r:id="rId6"/>
    <sheet name="5. Pair Trade Spread" sheetId="5" state="visible" r:id="rId7"/>
    <sheet name="6. AI Module Design" sheetId="6" state="visible" r:id="rId8"/>
    <sheet name="7. Catalyst Timeli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<sst xmlns="http://schemas.openxmlformats.org/spreadsheetml/2006/main" count="519" uniqueCount="436">
  <si>
    <t xml:space="preserve">DONGFANG ELECTRIC — GAS TURBINE EXPORT REVENUE BUILD MODEL</t>
  </si>
  <si>
    <t xml:space="preserve">Bottoms-Up Deal-Level Forecast | CNY Millions</t>
  </si>
  <si>
    <t xml:space="preserve">SECTION A: KEY ASSUMPTIONS</t>
  </si>
  <si>
    <t xml:space="preserve">Assumption</t>
  </si>
  <si>
    <t xml:space="preserve">Value</t>
  </si>
  <si>
    <t xml:space="preserve">Unit</t>
  </si>
  <si>
    <t xml:space="preserve">Source</t>
  </si>
  <si>
    <t xml:space="preserve">G50 Unit Price (Domestic)</t>
  </si>
  <si>
    <t xml:space="preserve">CNY M</t>
  </si>
  <si>
    <t xml:space="preserve">Source: Dongwu Securities, Jan 2026</t>
  </si>
  <si>
    <t xml:space="preserve">G50 Unit Price (Export)</t>
  </si>
  <si>
    <t xml:space="preserve">Source: Dongwu Securities, Jan 2026 — 50% premium to domestic</t>
  </si>
  <si>
    <t xml:space="preserve">Export Gross Margin</t>
  </si>
  <si>
    <t xml:space="preserve">%</t>
  </si>
  <si>
    <t xml:space="preserve">Source: Dongwu Securities — exceeds 30%</t>
  </si>
  <si>
    <t xml:space="preserve">Domestic Gross Margin</t>
  </si>
  <si>
    <t xml:space="preserve">Source: DEC Annual Report FY2024, Clean Energy segment</t>
  </si>
  <si>
    <t xml:space="preserve">Tax Rate</t>
  </si>
  <si>
    <t xml:space="preserve">Source: China HNTE preferential rate</t>
  </si>
  <si>
    <t xml:space="preserve">SGA as % of Revenue</t>
  </si>
  <si>
    <t xml:space="preserve">Source: DEC FY2024 annual report</t>
  </si>
  <si>
    <t xml:space="preserve">Service Contract (% of equip value/yr)</t>
  </si>
  <si>
    <t xml:space="preserve">Source: Industry standard 3-5%</t>
  </si>
  <si>
    <t xml:space="preserve">Delivery Lead Time (months)</t>
  </si>
  <si>
    <t xml:space="preserve">months</t>
  </si>
  <si>
    <t xml:space="preserve">Source: Industry estimates</t>
  </si>
  <si>
    <t xml:space="preserve">Revenue Recognition Split</t>
  </si>
  <si>
    <t xml:space="preserve">30% advance / 40% delivery / 30% commissioning</t>
  </si>
  <si>
    <t xml:space="preserve">FX Rate (CNY/USD)</t>
  </si>
  <si>
    <t xml:space="preserve">CNY per USD</t>
  </si>
  <si>
    <t xml:space="preserve">Source: Market rate, March 2026</t>
  </si>
  <si>
    <t xml:space="preserve">SECTION B: CONFIRMED ORDERS</t>
  </si>
  <si>
    <t xml:space="preserve">Client/Region</t>
  </si>
  <si>
    <t xml:space="preserve">Country</t>
  </si>
  <si>
    <t xml:space="preserve">Product</t>
  </si>
  <si>
    <t xml:space="preserve">Units</t>
  </si>
  <si>
    <t xml:space="preserve">MW/Unit</t>
  </si>
  <si>
    <t xml:space="preserve">Total MW</t>
  </si>
  <si>
    <t xml:space="preserve">Unit Price (CNY M)</t>
  </si>
  <si>
    <t xml:space="preserve">Total Value (CNY M)</t>
  </si>
  <si>
    <t xml:space="preserve">Delivery Start</t>
  </si>
  <si>
    <t xml:space="preserve">Status</t>
  </si>
  <si>
    <t xml:space="preserve">Canadian Utility</t>
  </si>
  <si>
    <t xml:space="preserve">Canada</t>
  </si>
  <si>
    <t xml:space="preserve">G50 Gas Turbine</t>
  </si>
  <si>
    <t xml:space="preserve">2027</t>
  </si>
  <si>
    <t xml:space="preserve">Confirmed — March 2026</t>
  </si>
  <si>
    <t xml:space="preserve">Kazakhstan Utility</t>
  </si>
  <si>
    <t xml:space="preserve">Kazakhstan</t>
  </si>
  <si>
    <t xml:space="preserve">2025</t>
  </si>
  <si>
    <t xml:space="preserve">Confirmed — Delivered</t>
  </si>
  <si>
    <t xml:space="preserve">Total Confirmed:</t>
  </si>
  <si>
    <t xml:space="preserve">SECTION C: PIPELINE ORDERS (PROBABILITY-WEIGHTED)</t>
  </si>
  <si>
    <t xml:space="preserve">Region</t>
  </si>
  <si>
    <t xml:space="preserve">Country/Area</t>
  </si>
  <si>
    <t xml:space="preserve">Est. Units</t>
  </si>
  <si>
    <t xml:space="preserve">Gross Value (CNY M)</t>
  </si>
  <si>
    <t xml:space="preserve">Probability</t>
  </si>
  <si>
    <t xml:space="preserve">Prob-Weighted Value (CNY M)</t>
  </si>
  <si>
    <t xml:space="preserve">Expected Timing</t>
  </si>
  <si>
    <t xml:space="preserve">Notes</t>
  </si>
  <si>
    <t xml:space="preserve">Additional N. America</t>
  </si>
  <si>
    <t xml:space="preserve">USA/Canada</t>
  </si>
  <si>
    <t xml:space="preserve">2027-2028</t>
  </si>
  <si>
    <t xml:space="preserve">US power shortage acute; tariff exemption likely</t>
  </si>
  <si>
    <t xml:space="preserve">Middle East</t>
  </si>
  <si>
    <t xml:space="preserve">GCC Countries</t>
  </si>
  <si>
    <t xml:space="preserve">2027-2029</t>
  </si>
  <si>
    <t xml:space="preserve">Saudi/UAE data center buildout; price-sensitive</t>
  </si>
  <si>
    <t xml:space="preserve">Southeast Asia</t>
  </si>
  <si>
    <t xml:space="preserve">Vietnam/Indonesia</t>
  </si>
  <si>
    <t xml:space="preserve">2026-2028</t>
  </si>
  <si>
    <t xml:space="preserve">Belt &amp; Road aligned; DEC has existing relationships</t>
  </si>
  <si>
    <t xml:space="preserve">Central Asia</t>
  </si>
  <si>
    <t xml:space="preserve">Kazakhstan/Uzbek</t>
  </si>
  <si>
    <t xml:space="preserve">2026-2027</t>
  </si>
  <si>
    <t xml:space="preserve">Proven track record; repeat orders likely</t>
  </si>
  <si>
    <t xml:space="preserve">Africa</t>
  </si>
  <si>
    <t xml:space="preserve">Nigeria/Egypt</t>
  </si>
  <si>
    <t xml:space="preserve">2028-2029</t>
  </si>
  <si>
    <t xml:space="preserve">Longer-dated; infrastructure financing needed</t>
  </si>
  <si>
    <t xml:space="preserve">Latin America</t>
  </si>
  <si>
    <t xml:space="preserve">Brazil/Mexico</t>
  </si>
  <si>
    <t xml:space="preserve">2028-2030</t>
  </si>
  <si>
    <t xml:space="preserve">Early stage; competition from GE/Siemens</t>
  </si>
  <si>
    <t xml:space="preserve">Total Pipeline (Prob-Wtd):</t>
  </si>
  <si>
    <t xml:space="preserve">SECTION D: EXPORT REVENUE RECOGNITION TIMELINE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</si>
  <si>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</si>
  <si>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</si>
  <si>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</si>
  <si>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</si>
  <si>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</si>
  <si>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</si>
  <si>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Confirmed: Kazakhstan (3 units)</t>
  </si>
  <si>
    <t xml:space="preserve">Confirmed: Canada (20 units)</t>
  </si>
  <si>
    <t xml:space="preserve">Pipeline: Additional N. America</t>
  </si>
  <si>
    <t xml:space="preserve">Pipeline: Middle East</t>
  </si>
  <si>
    <t xml:space="preserve">Pipeline: SE Asia</t>
  </si>
  <si>
    <t xml:space="preserve">Pipeline: Central Asia</t>
  </si>
  <si>
    <t xml:space="preserve">Pipeline: Africa</t>
  </si>
  <si>
    <t xml:space="preserve">Pipeline: Latin America</t>
  </si>
  <si>
    <t xml:space="preserve">TOTAL EXPORT EQUIPMENT REVENUE</t>
  </si>
  <si>
    <t xml:space="preserve">Service Contract Revenue (cumul.)</t>
  </si>
  <si>
    <t xml:space="preserve">TOTAL EXPORT REVENUE (Equip + Service)</t>
  </si>
  <si>
    <t xml:space="preserve">SECTION E: INCREMENTAL P&amp;L IMPACT FROM EXPORTS</t>
  </si>
  <si>
    <t xml:space="preserve">Export Revenue</t>
  </si>
  <si>
    <t xml:space="preserve">COGS (1 - Gross Margin)</t>
  </si>
  <si>
    <t xml:space="preserve">Gross Profit</t>
  </si>
  <si>
    <t xml:space="preserve">SGA Expense</t>
  </si>
  <si>
    <t xml:space="preserve">Operating Profit</t>
  </si>
  <si>
    <t xml:space="preserve">Tax</t>
  </si>
  <si>
    <t xml:space="preserve">NET INCOME FROM EXPORTS</t>
  </si>
  <si>
    <t xml:space="preserve">Source: DEC FY2024 base + 8% domestic growth assumption</t>
  </si>
  <si>
    <t xml:space="preserve">Total Net Income (incl. export)</t>
  </si>
  <si>
    <t xml:space="preserve">% Earnings Uplift from Exports</t>
  </si>
  <si>
    <t xml:space="preserve">DONGFANG ELECTRIC — SUM-OF-THE-PARTS VALUATION</t>
  </si>
  <si>
    <t xml:space="preserve">Segment-Level Decomposition | CNY Millions | March 2026</t>
  </si>
  <si>
    <t xml:space="preserve">MARKET DATA</t>
  </si>
  <si>
    <t xml:space="preserve">Share Price (1072.HK)</t>
  </si>
  <si>
    <t xml:space="preserve">HKD</t>
  </si>
  <si>
    <t xml:space="preserve">Source: HKEX, March 2026</t>
  </si>
  <si>
    <t xml:space="preserve">Shares Outstanding</t>
  </si>
  <si>
    <t xml:space="preserve">M shares</t>
  </si>
  <si>
    <t xml:space="preserve">Source: DEC Annual Report</t>
  </si>
  <si>
    <t xml:space="preserve">Market Cap (HKD)</t>
  </si>
  <si>
    <t xml:space="preserve">HKD M</t>
  </si>
  <si>
    <t xml:space="preserve">FX Rate (HKD/CNY)</t>
  </si>
  <si>
    <t xml:space="preserve">Source: Market, March 2026</t>
  </si>
  <si>
    <t xml:space="preserve">Market Cap (CNY)</t>
  </si>
  <si>
    <t xml:space="preserve">Net Debt (CNY)</t>
  </si>
  <si>
    <t xml:space="preserve">Source: DEC Balance Sheet estimate</t>
  </si>
  <si>
    <t xml:space="preserve">Enterprise Value (CNY)</t>
  </si>
  <si>
    <t xml:space="preserve">SOTP VALUATION</t>
  </si>
  <si>
    <t xml:space="preserve">Segment</t>
  </si>
  <si>
    <t xml:space="preserve">Revenue (CNY M)</t>
  </si>
  <si>
    <t xml:space="preserve">Segment Earnings (CNY M)</t>
  </si>
  <si>
    <t xml:space="preserve">Earnings Multiple</t>
  </si>
  <si>
    <t xml:space="preserve">Implied Value (CNY M)</t>
  </si>
  <si>
    <t xml:space="preserve">% of Total</t>
  </si>
  <si>
    <t xml:space="preserve">Valuation Basis</t>
  </si>
  <si>
    <t xml:space="preserve">Comparable</t>
  </si>
  <si>
    <t xml:space="preserve">1. Domestic Thermal/Steam Equipment</t>
  </si>
  <si>
    <t xml:space="preserve">PE</t>
  </si>
  <si>
    <t xml:space="preserve">Shanghai Electric, Harbin Electric</t>
  </si>
  <si>
    <t xml:space="preserve">2. Gas Turbine Export (2027E)</t>
  </si>
  <si>
    <t xml:space="preserve">PE on 2027E earnings</t>
  </si>
  <si>
    <t xml:space="preserve">Siemens Energy Gas Services</t>
  </si>
  <si>
    <t xml:space="preserve">3. Renewable Energy (Wind/Hydro/Solar)</t>
  </si>
  <si>
    <t xml:space="preserve">Goldwind, Ming Yang</t>
  </si>
  <si>
    <t xml:space="preserve">4. Nuclear Equipment</t>
  </si>
  <si>
    <t xml:space="preserve">China Nuclear Power, CGN Power</t>
  </si>
  <si>
    <t xml:space="preserve">5. Engineering &amp; Trade (EPC)</t>
  </si>
  <si>
    <t xml:space="preserve">China Energy Engineering</t>
  </si>
  <si>
    <t xml:space="preserve">6. Modern Manufacturing Services</t>
  </si>
  <si>
    <t xml:space="preserve">Industrial equipment peers</t>
  </si>
  <si>
    <t xml:space="preserve">7. Emerging Growth (H2, ESS)</t>
  </si>
  <si>
    <t xml:space="preserve">1x Revenue</t>
  </si>
  <si>
    <t xml:space="preserve">Early-stage premium</t>
  </si>
  <si>
    <t xml:space="preserve">TOTAL SOTP EQUITY VALUE</t>
  </si>
  <si>
    <t xml:space="preserve">Less: Net Debt</t>
  </si>
  <si>
    <t xml:space="preserve">SOTP EQUITY VALUE</t>
  </si>
  <si>
    <t xml:space="preserve">SOTP vs MARKET</t>
  </si>
  <si>
    <t xml:space="preserve">Current Market Cap (CNY M)</t>
  </si>
  <si>
    <t xml:space="preserve">SOTP Fair Value (CNY M)</t>
  </si>
  <si>
    <t xml:space="preserve">Upside / (Downside)</t>
  </si>
  <si>
    <t xml:space="preserve">Implied Fair Share Price (HKD)</t>
  </si>
  <si>
    <t xml:space="preserve">IMPLIED VALUE OF EXPORT SEGMENT</t>
  </si>
  <si>
    <t xml:space="preserve">Market Cap minus Domestic-Only SOTP</t>
  </si>
  <si>
    <t xml:space="preserve">Market is pricing export segment at:</t>
  </si>
  <si>
    <t xml:space="preserve">SENSITIVITY: SOTP VALUE BY EXPORT MULTIPLE &amp; UNITS</t>
  </si>
  <si>
    <t xml:space="preserve">Export Earnings Multiple →</t>
  </si>
  <si>
    <t xml:space="preserve">Export Units (annual) ↓</t>
  </si>
  <si>
    <t xml:space="preserve">10 units/yr</t>
  </si>
  <si>
    <t xml:space="preserve">20 units/yr</t>
  </si>
  <si>
    <t xml:space="preserve">30 units/yr</t>
  </si>
  <si>
    <t xml:space="preserve">40 units/yr</t>
  </si>
  <si>
    <t xml:space="preserve">50 units/yr</t>
  </si>
  <si>
    <t xml:space="preserve">GE VERNOVA — REVERSE DCF ANALYSIS</t>
  </si>
  <si>
    <t xml:space="preserve">What Growth &amp; Margins Does $830/Share Already Imply? | USD Millions</t>
  </si>
  <si>
    <t xml:space="preserve">MARKET INPUTS</t>
  </si>
  <si>
    <t xml:space="preserve">Share Price (USD)</t>
  </si>
  <si>
    <t xml:space="preserve">Source: NYSE, March 2026</t>
  </si>
  <si>
    <t xml:space="preserve">Shares Outstanding (M)</t>
  </si>
  <si>
    <t xml:space="preserve">Source: GEV 10-K</t>
  </si>
  <si>
    <t xml:space="preserve">Market Cap (USD M)</t>
  </si>
  <si>
    <t xml:space="preserve">Net Debt (USD M)</t>
  </si>
  <si>
    <t xml:space="preserve">Source: GEV Balance Sheet (near net cash)</t>
  </si>
  <si>
    <t xml:space="preserve">Enterprise Value (USD M)</t>
  </si>
  <si>
    <t xml:space="preserve">WACC</t>
  </si>
  <si>
    <t xml:space="preserve">Source: Assumed — 9.5%</t>
  </si>
  <si>
    <t xml:space="preserve">Terminal Growth Rate</t>
  </si>
  <si>
    <t xml:space="preserve">Source: Assumed — 3.0%</t>
  </si>
  <si>
    <t xml:space="preserve">Source: US corporate rate</t>
  </si>
  <si>
    <t xml:space="preserve">IMPLIED FORWARD PROJECTIONS</t>
  </si>
  <si>
    <t xml:space="preserve">2025A</t>
  </si>
  <si>
    <t xml:space="preserve">2031E</t>
  </si>
  <si>
    <t xml:space="preserve">2032E</t>
  </si>
  <si>
    <t xml:space="preserve">2033E</t>
  </si>
  <si>
    <t xml:space="preserve">2034E</t>
  </si>
  <si>
    <t xml:space="preserve">Terminal</t>
  </si>
  <si>
    <t xml:space="preserve">Revenue (USD M)</t>
  </si>
  <si>
    <t xml:space="preserve">Revenue Growth (YoY)</t>
  </si>
  <si>
    <t xml:space="preserve">EBITDA Margin (implied)</t>
  </si>
  <si>
    <t xml:space="preserve">EBITDA (USD M)</t>
  </si>
  <si>
    <t xml:space="preserve">D&amp;A (% of revenue)</t>
  </si>
  <si>
    <t xml:space="preserve">EBIT (USD M)</t>
  </si>
  <si>
    <t xml:space="preserve">Tax on EBIT</t>
  </si>
  <si>
    <t xml:space="preserve">NOPAT</t>
  </si>
  <si>
    <t xml:space="preserve">CapEx (% of revenue)</t>
  </si>
  <si>
    <t xml:space="preserve">Change in WC (% of rev Δ)</t>
  </si>
  <si>
    <t xml:space="preserve">FREE CASH FLOW TO FIRM</t>
  </si>
  <si>
    <t xml:space="preserve">TERMINAL VALUE CALCULATION</t>
  </si>
  <si>
    <t xml:space="preserve">Terminal FCFF (yr 10)</t>
  </si>
  <si>
    <t xml:space="preserve">Terminal Value</t>
  </si>
  <si>
    <t xml:space="preserve">PV of Terminal Value</t>
  </si>
  <si>
    <t xml:space="preserve">PV of Explicit Period FCFF</t>
  </si>
  <si>
    <t xml:space="preserve">TOTAL ENTERPRISE VALUE (DCF)</t>
  </si>
  <si>
    <t xml:space="preserve">EQUITY VALUE (DCF)</t>
  </si>
  <si>
    <t xml:space="preserve">Implied Price Per Share</t>
  </si>
  <si>
    <t xml:space="preserve">vs Current Price</t>
  </si>
  <si>
    <t xml:space="preserve">KEY INSIGHT: WHAT'S PRICED IN</t>
  </si>
  <si>
    <t xml:space="preserve">The market at $832/share implies:</t>
  </si>
  <si>
    <t xml:space="preserve">→ Revenue CAGR of ~13% through 2034 (from $38B to $88B)</t>
  </si>
  <si>
    <t xml:space="preserve">→ EBITDA margin expansion from 10.8% to 21.0%</t>
  </si>
  <si>
    <t xml:space="preserve">→ Perfect execution across Power AND Electrification</t>
  </si>
  <si>
    <t xml:space="preserve">→ Wind losses contained at guidance ($400M/yr then breakeven)</t>
  </si>
  <si>
    <t xml:space="preserve">→ ZERO competitive displacement from Chinese gas turbines</t>
  </si>
  <si>
    <t xml:space="preserve">If ANY of these assumptions disappoint, significant downside exists.</t>
  </si>
  <si>
    <t xml:space="preserve">At 45x PE, the stock has asymmetric risk: limited upside, meaningful downside.</t>
  </si>
  <si>
    <t xml:space="preserve">GLOBAL POWER EQUIPMENT — COMPARABLE COMPANY ANALYSIS</t>
  </si>
  <si>
    <t xml:space="preserve">Company</t>
  </si>
  <si>
    <t xml:space="preserve">Ticker</t>
  </si>
  <si>
    <t xml:space="preserve">Mkt Cap (USD B)</t>
  </si>
  <si>
    <t xml:space="preserve">PE (TTM)</t>
  </si>
  <si>
    <t xml:space="preserve">PE (Fwd)</t>
  </si>
  <si>
    <t xml:space="preserve">EV/EBITDA</t>
  </si>
  <si>
    <t xml:space="preserve">Rev Growth</t>
  </si>
  <si>
    <t xml:space="preserve">EBITDA Margin</t>
  </si>
  <si>
    <t xml:space="preserve">Export Rev %</t>
  </si>
  <si>
    <t xml:space="preserve">Gas Turbine</t>
  </si>
  <si>
    <t xml:space="preserve">Grid Equip</t>
  </si>
  <si>
    <t xml:space="preserve">Valuation Call</t>
  </si>
  <si>
    <t xml:space="preserve">Dongfang Electric</t>
  </si>
  <si>
    <t xml:space="preserve">1072.HK</t>
  </si>
  <si>
    <t xml:space="preserve">China</t>
  </si>
  <si>
    <t xml:space="preserve">HIGH</t>
  </si>
  <si>
    <t xml:space="preserve">LOW</t>
  </si>
  <si>
    <t xml:space="preserve">UNDERVALUED</t>
  </si>
  <si>
    <t xml:space="preserve">GE Vernova</t>
  </si>
  <si>
    <t xml:space="preserve">GEV</t>
  </si>
  <si>
    <t xml:space="preserve">US</t>
  </si>
  <si>
    <t xml:space="preserve">DOMINANT</t>
  </si>
  <si>
    <t xml:space="preserve">OVERVALUED</t>
  </si>
  <si>
    <t xml:space="preserve">Siemens Energy</t>
  </si>
  <si>
    <t xml:space="preserve">ENR.DE</t>
  </si>
  <si>
    <t xml:space="preserve">Germany</t>
  </si>
  <si>
    <t xml:space="preserve">FULLY VALUED</t>
  </si>
  <si>
    <t xml:space="preserve">Sieyuan Electric</t>
  </si>
  <si>
    <t xml:space="preserve">002028.SZ</t>
  </si>
  <si>
    <t xml:space="preserve">NONE</t>
  </si>
  <si>
    <t xml:space="preserve">PRICED IN</t>
  </si>
  <si>
    <t xml:space="preserve">Shanghai Electric</t>
  </si>
  <si>
    <t xml:space="preserve">601727.SS</t>
  </si>
  <si>
    <t xml:space="preserve">MED (licensed)</t>
  </si>
  <si>
    <t xml:space="preserve">MED</t>
  </si>
  <si>
    <t xml:space="preserve">FAIR VALUE</t>
  </si>
  <si>
    <t xml:space="preserve">Mitsubishi Heavy Ind.</t>
  </si>
  <si>
    <t xml:space="preserve">7011.T</t>
  </si>
  <si>
    <t xml:space="preserve">Japan</t>
  </si>
  <si>
    <t xml:space="preserve">Harbin Electric</t>
  </si>
  <si>
    <t xml:space="preserve">1133.HK</t>
  </si>
  <si>
    <t xml:space="preserve">CHEAP</t>
  </si>
  <si>
    <t xml:space="preserve">Doosan Enerbility</t>
  </si>
  <si>
    <t xml:space="preserve">034020.KS</t>
  </si>
  <si>
    <t xml:space="preserve">Korea</t>
  </si>
  <si>
    <t xml:space="preserve">PEER AVERAGE (excl. DEC &amp; GEV)</t>
  </si>
  <si>
    <t xml:space="preserve">KEY TAKEAWAYS</t>
  </si>
  <si>
    <t xml:space="preserve">1. DEC trades at 33x PE vs 45x for GEV — a 27% discount despite higher growth optionality</t>
  </si>
  <si>
    <t xml:space="preserve">2. DEC's export revenue (8%) is the lowest of any player with gas turbine capability — room to grow</t>
  </si>
  <si>
    <t xml:space="preserve">3. Sieyuan at 57x PE shows the market DOES pay up for China grid plays — DEC has grid AND export</t>
  </si>
  <si>
    <t xml:space="preserve">4. If DEC re-rates to Sieyuan's EV/EBITDA (35x), implied upside is ~130%</t>
  </si>
  <si>
    <t xml:space="preserve">5. If DEC re-rates to just the peer average (15x EV/EBITDA), upside is ~0% — exports must materialize</t>
  </si>
  <si>
    <t xml:space="preserve">6. GEV at 33x EV/EBITDA is the most expensive name in the global peer set</t>
  </si>
  <si>
    <t xml:space="preserve">PAIR TRADE SPREAD ANALYSIS</t>
  </si>
  <si>
    <t xml:space="preserve">Long Dongfang Electric (1072.HK) / Short GE Vernova (GEV)</t>
  </si>
  <si>
    <t xml:space="preserve">TRADE SETUP</t>
  </si>
  <si>
    <t xml:space="preserve">Long Entry: DEC 1072.HK</t>
  </si>
  <si>
    <t xml:space="preserve">Short Entry: GEV</t>
  </si>
  <si>
    <t xml:space="preserve">USD</t>
  </si>
  <si>
    <t xml:space="preserve">Position Size (each leg)</t>
  </si>
  <si>
    <t xml:space="preserve">DEC Shares (Position / Price / FX)</t>
  </si>
  <si>
    <t xml:space="preserve">shares</t>
  </si>
  <si>
    <t xml:space="preserve">GEV Shares (Position / Price)</t>
  </si>
  <si>
    <t xml:space="preserve">FX Rate HKD/USD</t>
  </si>
  <si>
    <t xml:space="preserve">SCENARIO ANALYSIS</t>
  </si>
  <si>
    <t xml:space="preserve">Scenario</t>
  </si>
  <si>
    <t xml:space="preserve">DEC Return</t>
  </si>
  <si>
    <t xml:space="preserve">GEV Return</t>
  </si>
  <si>
    <t xml:space="preserve">Spread Return</t>
  </si>
  <si>
    <t xml:space="preserve">PnL (USD)</t>
  </si>
  <si>
    <t xml:space="preserve">Expected PnL</t>
  </si>
  <si>
    <t xml:space="preserve">Bull: Export acceleration + GEV Wind miss</t>
  </si>
  <si>
    <t xml:space="preserve">Base: Gradual export ramp + GEV flat</t>
  </si>
  <si>
    <t xml:space="preserve">Moderate: Slow export + GEV modest gain</t>
  </si>
  <si>
    <t xml:space="preserve">Bear: Export stalls + GEV momentum</t>
  </si>
  <si>
    <t xml:space="preserve">EXPECTED RETURN</t>
  </si>
  <si>
    <t xml:space="preserve">RISK METRICS</t>
  </si>
  <si>
    <t xml:space="preserve">DEC 30-day Volatility (ann.)</t>
  </si>
  <si>
    <t xml:space="preserve">Source: Bloomberg estimate</t>
  </si>
  <si>
    <t xml:space="preserve">GEV 30-day Volatility (ann.)</t>
  </si>
  <si>
    <t xml:space="preserve">Source: Bloomberg</t>
  </si>
  <si>
    <t xml:space="preserve">Correlation (DEC, GEV)</t>
  </si>
  <si>
    <t xml:space="preserve">Low — different markets, currencies, investors</t>
  </si>
  <si>
    <t xml:space="preserve">Pair Volatility (ann.)</t>
  </si>
  <si>
    <t xml:space="preserve">Expected Spread Return</t>
  </si>
  <si>
    <t xml:space="preserve">Sharpe Ratio (Spread)</t>
  </si>
  <si>
    <t xml:space="preserve">Max Drawdown (bear scenario)</t>
  </si>
  <si>
    <t xml:space="preserve">Stop-Loss Level</t>
  </si>
  <si>
    <t xml:space="preserve">Close position if spread moves -20%</t>
  </si>
  <si>
    <t xml:space="preserve">SPREAD RETURN SENSITIVITY MATRIX</t>
  </si>
  <si>
    <t xml:space="preserve">GEV Return →</t>
  </si>
  <si>
    <t xml:space="preserve">DEC Return ↓</t>
  </si>
  <si>
    <t xml:space="preserve">AI MODULE: CROSS-BORDER POWER EQUIPMENT TRADE FLOW ANALYZER</t>
  </si>
  <si>
    <t xml:space="preserve">Methodology, Data Architecture, and Output Specifications</t>
  </si>
  <si>
    <t xml:space="preserve">MODULE ARCHITECTURE</t>
  </si>
  <si>
    <t xml:space="preserve">Component</t>
  </si>
  <si>
    <t xml:space="preserve">Description</t>
  </si>
  <si>
    <t xml:space="preserve">Data Source</t>
  </si>
  <si>
    <t xml:space="preserve">Update Frequency</t>
  </si>
  <si>
    <t xml:space="preserve">Output</t>
  </si>
  <si>
    <t xml:space="preserve">Technology</t>
  </si>
  <si>
    <t xml:space="preserve">1. Deal Tracker</t>
  </si>
  <si>
    <t xml:space="preserve">Extracts gas turbine export deals from public announcements</t>
  </si>
  <si>
    <t xml:space="preserve">Company filings, gov't databases, news (CN + EN)</t>
  </si>
  <si>
    <t xml:space="preserve">Weekly</t>
  </si>
  <si>
    <t xml:space="preserve">Structured deal database (CSV)</t>
  </si>
  <si>
    <t xml:space="preserve">Python + Claude API NLP</t>
  </si>
  <si>
    <t xml:space="preserve">2. Earnings Call Analyzer</t>
  </si>
  <si>
    <t xml:space="preserve">Parses transcripts for export/competition mentions</t>
  </si>
  <si>
    <t xml:space="preserve">SEC EDGAR, HKEX filings, IR websites</t>
  </si>
  <si>
    <t xml:space="preserve">Quarterly</t>
  </si>
  <si>
    <t xml:space="preserve">Sentiment score + keyword frequency</t>
  </si>
  <si>
    <t xml:space="preserve">Claude API, regex</t>
  </si>
  <si>
    <t xml:space="preserve">3. Market Share Tracker</t>
  </si>
  <si>
    <t xml:space="preserve">Computes global gas turbine order share by manufacturer</t>
  </si>
  <si>
    <t xml:space="preserve">Component 1 output + GEV/Siemens filings</t>
  </si>
  <si>
    <t xml:space="preserve">Market share pie chart + trend</t>
  </si>
  <si>
    <t xml:space="preserve">Python pandas, matplotlib</t>
  </si>
  <si>
    <t xml:space="preserve">4. China Export Score</t>
  </si>
  <si>
    <t xml:space="preserve">Composite momentum indicator for CN power exports</t>
  </si>
  <si>
    <t xml:space="preserve">Components 1-3 + trade data</t>
  </si>
  <si>
    <t xml:space="preserve">Monthly</t>
  </si>
  <si>
    <t xml:space="preserve">Single score (0-100) + decomposition</t>
  </si>
  <si>
    <t xml:space="preserve">Weighted composite index</t>
  </si>
  <si>
    <t xml:space="preserve">5. Visualization Engine</t>
  </si>
  <si>
    <t xml:space="preserve">Produces deck-ready charts</t>
  </si>
  <si>
    <t xml:space="preserve">All components above</t>
  </si>
  <si>
    <t xml:space="preserve">On-demand</t>
  </si>
  <si>
    <t xml:space="preserve">SVG/PNG charts for slides</t>
  </si>
  <si>
    <t xml:space="preserve">matplotlib, seaborn</t>
  </si>
  <si>
    <t xml:space="preserve">SAMPLE OUTPUT: CHINA GAS TURBINE EXPORT DEAL DATABASE</t>
  </si>
  <si>
    <t xml:space="preserve">Date</t>
  </si>
  <si>
    <t xml:space="preserve">Chinese OEM</t>
  </si>
  <si>
    <t xml:space="preserve">Buyer/Country</t>
  </si>
  <si>
    <t xml:space="preserve">Est. Value (USD M)</t>
  </si>
  <si>
    <t xml:space="preserve">2025-Q1</t>
  </si>
  <si>
    <t xml:space="preserve">G50 (50MW)</t>
  </si>
  <si>
    <t xml:space="preserve">Delivered</t>
  </si>
  <si>
    <t xml:space="preserve">2025-Q3</t>
  </si>
  <si>
    <t xml:space="preserve">Pakistan CPEC</t>
  </si>
  <si>
    <t xml:space="preserve">F-class (licensed)</t>
  </si>
  <si>
    <t xml:space="preserve">In Progress</t>
  </si>
  <si>
    <t xml:space="preserve">2026-Q1</t>
  </si>
  <si>
    <t xml:space="preserve">Canadian Client</t>
  </si>
  <si>
    <t xml:space="preserve">Confirmed</t>
  </si>
  <si>
    <t xml:space="preserve">Bangladesh Power Dev</t>
  </si>
  <si>
    <t xml:space="preserve">E-class (60MW)</t>
  </si>
  <si>
    <t xml:space="preserve">MOU Signed</t>
  </si>
  <si>
    <t xml:space="preserve">2026-Q2E</t>
  </si>
  <si>
    <t xml:space="preserve">Vietnam EVN</t>
  </si>
  <si>
    <t xml:space="preserve">Negotiating</t>
  </si>
  <si>
    <t xml:space="preserve">Saudi NEOM</t>
  </si>
  <si>
    <t xml:space="preserve">Early Stage</t>
  </si>
  <si>
    <t xml:space="preserve">ADVANTAGES</t>
  </si>
  <si>
    <t xml:space="preserve">Processes both Chinese and English language sources simultaneously — captures deals others miss</t>
  </si>
  <si>
    <t xml:space="preserve">Tracks data NOT available on Bloomberg, Capital IQ, or any standard terminal</t>
  </si>
  <si>
    <t xml:space="preserve">Produces real-time monitoring — identifies export inflections before sell-side consensus</t>
  </si>
  <si>
    <t xml:space="preserve">Structured output feeds directly into the financial model (Export Revenue Build tab)</t>
  </si>
  <si>
    <t xml:space="preserve">Generates deck-ready visualizations (the 'hockey stick' chart on Slide 6)</t>
  </si>
  <si>
    <t xml:space="preserve">Demonstrates genuine AI Analyst capability beyond generic sentiment analysis</t>
  </si>
  <si>
    <t xml:space="preserve">LIMITATIONS</t>
  </si>
  <si>
    <t xml:space="preserve">Chinese-language announcements may be misinterpreted by LLM — translation errors possible</t>
  </si>
  <si>
    <t xml:space="preserve">Private/confidential deals are not captured — database represents disclosed deals only</t>
  </si>
  <si>
    <t xml:space="preserve">Pipeline deals have uncertain conversion probability — overcount or undercount risk</t>
  </si>
  <si>
    <t xml:space="preserve">Historical data is limited — gas turbine export from China is a new phenomenon (&lt;3 years)</t>
  </si>
  <si>
    <t xml:space="preserve">AI sentiment analysis measures perception, not ground truth — company actions may differ from words</t>
  </si>
  <si>
    <t xml:space="preserve">Earnings call NLP can misinterpret context (e.g., 'competition' mentioned positively vs negatively)</t>
  </si>
  <si>
    <t xml:space="preserve">Coverage bias — may overweight companies with more English-language disclosure</t>
  </si>
  <si>
    <t xml:space="preserve">Cannot replace fundamental judgment on deal economics — human oversight required</t>
  </si>
  <si>
    <t xml:space="preserve">CATALYST TIMELINE — 12-MONTH HORIZON</t>
  </si>
  <si>
    <t xml:space="preserve">Date/Period</t>
  </si>
  <si>
    <t xml:space="preserve">Catalyst</t>
  </si>
  <si>
    <t xml:space="preserve">Impact on Pair Trade</t>
  </si>
  <si>
    <t xml:space="preserve">DEC Impact</t>
  </si>
  <si>
    <t xml:space="preserve">GEV Impact</t>
  </si>
  <si>
    <t xml:space="preserve">Mar 2026</t>
  </si>
  <si>
    <t xml:space="preserve">15th Five-Year Plan officially adopted at NPC</t>
  </si>
  <si>
    <t xml:space="preserve">Confirms CNY 5T grid CapEx — floor for DEC</t>
  </si>
  <si>
    <t xml:space="preserve">POSITIVE</t>
  </si>
  <si>
    <t xml:space="preserve">NEUTRAL</t>
  </si>
  <si>
    <t xml:space="preserve">Apr 2026</t>
  </si>
  <si>
    <t xml:space="preserve">DEC FY2025 annual results + Q1 2026 update</t>
  </si>
  <si>
    <t xml:space="preserve">Export order book visibility first time</t>
  </si>
  <si>
    <t xml:space="preserve">GEV Q1 2026 earnings (Apr 22)</t>
  </si>
  <si>
    <t xml:space="preserve">Wind losses vs guidance — key watchpoint</t>
  </si>
  <si>
    <t xml:space="preserve">RISK</t>
  </si>
  <si>
    <t xml:space="preserve">Q2 2026</t>
  </si>
  <si>
    <t xml:space="preserve">Expected: Additional gas turbine export orders</t>
  </si>
  <si>
    <t xml:space="preserve">Core thesis validation / refutation</t>
  </si>
  <si>
    <t xml:space="preserve">NEGATIVE</t>
  </si>
  <si>
    <t xml:space="preserve">State Grid annual CapEx plan detailed release</t>
  </si>
  <si>
    <t xml:space="preserve">Domestic revenue visibility for DEC</t>
  </si>
  <si>
    <t xml:space="preserve">H2 2026</t>
  </si>
  <si>
    <t xml:space="preserve">GEV gas turbine delivery ramp begins</t>
  </si>
  <si>
    <t xml:space="preserve">Market tests whether backlog converts smoothly</t>
  </si>
  <si>
    <t xml:space="preserve">RISK/POSITIVE</t>
  </si>
  <si>
    <t xml:space="preserve">DEC Canadian order production ramp</t>
  </si>
  <si>
    <t xml:space="preserve">Revenue recognition begins (30% advance)</t>
  </si>
  <si>
    <t xml:space="preserve">Q4 2026</t>
  </si>
  <si>
    <t xml:space="preserve">US power shortage data update (EIA)</t>
  </si>
  <si>
    <t xml:space="preserve">Validates structural demand for all gas turbines</t>
  </si>
  <si>
    <t xml:space="preserve">DEC first Canadian gas turbine deliveries</t>
  </si>
  <si>
    <t xml:space="preserve">Full revenue recognition + margin proof point</t>
  </si>
  <si>
    <t xml:space="preserve">VERY POSITIVE</t>
  </si>
  <si>
    <t xml:space="preserve">Expected: GEV valuation normalization</t>
  </si>
  <si>
    <t xml:space="preserve">PE compression from 45x toward 30-35x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</si>
</sst>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%"/>
    <numFmt numFmtId="168" formatCode="#,##0.00"/>
    <numFmt numFmtId="169" formatCode="0.0\x"/>
    <numFmt numFmtId="170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AF8"/>
        <bgColor rgb="FFE8F5E9"/>
      </patternFill>
    </fill>
    <fill>
      <patternFill patternType="solid">
        <fgColor rgb="FFF2F2F2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3E0"/>
        <bgColor rgb="FFFFEBEE"/>
      </patternFill>
    </fill>
    <fill>
      <patternFill patternType="solid">
        <fgColor rgb="FFC8E6C9"/>
        <bgColor rgb="FFD6EAF8"/>
      </patternFill>
    </fill>
    <fill>
      <patternFill patternType="solid">
        <fgColor rgb="FFFFFFCC"/>
        <bgColor rgb="FFFFF9C4"/>
      </patternFill>
    </fill>
    <fill>
      <patternFill patternType="solid">
        <fgColor rgb="FFFFEBEE"/>
        <bgColor rgb="FFFFF3E0"/>
      </patternFill>
    </fill>
    <fill>
      <patternFill patternType="solid">
        <fgColor rgb="FFFFF9C4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CCCCC"/>
      <rgbColor rgb="FF808080"/>
      <rgbColor rgb="FF9999FF"/>
      <rgbColor rgb="FF8E44AD"/>
      <rgbColor rgb="FFFFFFCC"/>
      <rgbColor rgb="FFD6EAF8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8F5E9"/>
      <rgbColor rgb="FFC8E6C9"/>
      <rgbColor rgb="FFFFF9C4"/>
      <rgbColor rgb="FFFFF3E0"/>
      <rgbColor rgb="FFFF99CC"/>
      <rgbColor rgb="FFCC99FF"/>
      <rgbColor rgb="FFFFEBEE"/>
      <rgbColor rgb="FF3366FF"/>
      <rgbColor rgb="FF33CCCC"/>
      <rgbColor rgb="FF99CC00"/>
      <rgbColor rgb="FFFFCC00"/>
      <rgbColor rgb="FFF39C12"/>
      <rgbColor rgb="FFE74C3C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4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v>200</v>
      </c>
      <c r="C6" s="7" t="s">
        <v>8</v>
      </c>
      <c r="D6" s="8" t="s">
        <v>9</v>
      </c>
    </row>
    <row r="7" customFormat="false" ht="15" hidden="false" customHeight="false" outlineLevel="0" collapsed="false">
      <c r="A7" s="6" t="s">
        <v>10</v>
      </c>
      <c r="B7" s="7" t="n">
        <v>300</v>
      </c>
      <c r="C7" s="7" t="s">
        <v>8</v>
      </c>
      <c r="D7" s="8" t="s">
        <v>11</v>
      </c>
    </row>
    <row r="8" customFormat="false" ht="15" hidden="false" customHeight="false" outlineLevel="0" collapsed="false">
      <c r="A8" s="6" t="s">
        <v>12</v>
      </c>
      <c r="B8" s="9" t="n">
        <v>0.32</v>
      </c>
      <c r="C8" s="7" t="s">
        <v>13</v>
      </c>
      <c r="D8" s="8" t="s">
        <v>14</v>
      </c>
    </row>
    <row r="9" customFormat="false" ht="15" hidden="false" customHeight="false" outlineLevel="0" collapsed="false">
      <c r="A9" s="6" t="s">
        <v>15</v>
      </c>
      <c r="B9" s="9" t="n">
        <v>0.22</v>
      </c>
      <c r="C9" s="7" t="s">
        <v>13</v>
      </c>
      <c r="D9" s="8" t="s">
        <v>16</v>
      </c>
    </row>
    <row r="10" customFormat="false" ht="15" hidden="false" customHeight="false" outlineLevel="0" collapsed="false">
      <c r="A10" s="6" t="s">
        <v>17</v>
      </c>
      <c r="B10" s="9" t="n">
        <v>0.15</v>
      </c>
      <c r="C10" s="7" t="s">
        <v>13</v>
      </c>
      <c r="D10" s="8" t="s">
        <v>18</v>
      </c>
    </row>
    <row r="11" customFormat="false" ht="15" hidden="false" customHeight="false" outlineLevel="0" collapsed="false">
      <c r="A11" s="6" t="s">
        <v>19</v>
      </c>
      <c r="B11" s="9" t="n">
        <v>0.08</v>
      </c>
      <c r="C11" s="7" t="s">
        <v>13</v>
      </c>
      <c r="D11" s="8" t="s">
        <v>20</v>
      </c>
    </row>
    <row r="12" customFormat="false" ht="15" hidden="false" customHeight="false" outlineLevel="0" collapsed="false">
      <c r="A12" s="6" t="s">
        <v>21</v>
      </c>
      <c r="B12" s="9" t="n">
        <v>0.04</v>
      </c>
      <c r="C12" s="7" t="s">
        <v>13</v>
      </c>
      <c r="D12" s="8" t="s">
        <v>22</v>
      </c>
    </row>
    <row r="13" customFormat="false" ht="15" hidden="false" customHeight="false" outlineLevel="0" collapsed="false">
      <c r="A13" s="6" t="s">
        <v>23</v>
      </c>
      <c r="B13" s="7" t="n">
        <v>18</v>
      </c>
      <c r="C13" s="7" t="s">
        <v>24</v>
      </c>
      <c r="D13" s="8" t="s">
        <v>25</v>
      </c>
    </row>
    <row r="14" customFormat="false" ht="15" hidden="false" customHeight="false" outlineLevel="0" collapsed="false">
      <c r="A14" s="6" t="s">
        <v>26</v>
      </c>
      <c r="B14" s="7"/>
      <c r="C14" s="7"/>
      <c r="D14" s="8" t="s">
        <v>27</v>
      </c>
    </row>
    <row r="15" customFormat="false" ht="15" hidden="false" customHeight="false" outlineLevel="0" collapsed="false">
      <c r="A15" s="6" t="s">
        <v>28</v>
      </c>
      <c r="B15" s="7" t="n">
        <v>7.1</v>
      </c>
      <c r="C15" s="7" t="s">
        <v>29</v>
      </c>
      <c r="D15" s="8" t="s">
        <v>30</v>
      </c>
    </row>
    <row r="18" customFormat="false" ht="15" hidden="false" customHeight="false" outlineLevel="0" collapsed="false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2" t="s">
        <v>32</v>
      </c>
      <c r="B19" s="12" t="s">
        <v>33</v>
      </c>
      <c r="C19" s="12" t="s">
        <v>34</v>
      </c>
      <c r="D19" s="12" t="s">
        <v>35</v>
      </c>
      <c r="E19" s="12" t="s">
        <v>36</v>
      </c>
      <c r="F19" s="12" t="s">
        <v>37</v>
      </c>
      <c r="G19" s="12" t="s">
        <v>38</v>
      </c>
      <c r="H19" s="12" t="s">
        <v>39</v>
      </c>
      <c r="I19" s="12" t="s">
        <v>40</v>
      </c>
      <c r="J19" s="12" t="s">
        <v>41</v>
      </c>
    </row>
    <row r="20" customFormat="false" ht="15" hidden="false" customHeight="false" outlineLevel="0" collapsed="false">
      <c r="A20" s="6" t="s">
        <v>42</v>
      </c>
      <c r="B20" s="6" t="s">
        <v>43</v>
      </c>
      <c r="C20" s="6" t="s">
        <v>44</v>
      </c>
      <c r="D20" s="7" t="n">
        <v>20</v>
      </c>
      <c r="E20" s="6" t="n">
        <v>50</v>
      </c>
      <c r="F20" s="6" t="n">
        <f aca="false">D20*E20</f>
        <v>1000</v>
      </c>
      <c r="G20" s="13" t="n">
        <f aca="false">$B$7</f>
        <v>300</v>
      </c>
      <c r="H20" s="14" t="n">
        <f aca="false">D20*G20</f>
        <v>6000</v>
      </c>
      <c r="I20" s="6" t="s">
        <v>45</v>
      </c>
      <c r="J20" s="6" t="s">
        <v>46</v>
      </c>
    </row>
    <row r="21" customFormat="false" ht="15" hidden="false" customHeight="false" outlineLevel="0" collapsed="false">
      <c r="A21" s="6" t="s">
        <v>47</v>
      </c>
      <c r="B21" s="6" t="s">
        <v>48</v>
      </c>
      <c r="C21" s="6" t="s">
        <v>44</v>
      </c>
      <c r="D21" s="7" t="n">
        <v>3</v>
      </c>
      <c r="E21" s="6" t="n">
        <v>50</v>
      </c>
      <c r="F21" s="6" t="n">
        <f aca="false">D21*E21</f>
        <v>150</v>
      </c>
      <c r="G21" s="13" t="n">
        <f aca="false">$B$7</f>
        <v>300</v>
      </c>
      <c r="H21" s="14" t="n">
        <f aca="false">D21*G21</f>
        <v>900</v>
      </c>
      <c r="I21" s="6" t="s">
        <v>49</v>
      </c>
      <c r="J21" s="6" t="s">
        <v>50</v>
      </c>
    </row>
    <row r="22" customFormat="false" ht="15" hidden="false" customHeight="false" outlineLevel="0" collapsed="false">
      <c r="G22" s="15" t="s">
        <v>51</v>
      </c>
      <c r="H22" s="16" t="n">
        <f aca="false">SUM(H20:H21)</f>
        <v>6900</v>
      </c>
    </row>
    <row r="25" customFormat="false" ht="15" hidden="false" customHeight="false" outlineLevel="0" collapsed="false">
      <c r="A25" s="17" t="s">
        <v>52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12" t="s">
        <v>53</v>
      </c>
      <c r="B26" s="12" t="s">
        <v>54</v>
      </c>
      <c r="C26" s="12" t="s">
        <v>55</v>
      </c>
      <c r="D26" s="12" t="s">
        <v>36</v>
      </c>
      <c r="E26" s="12" t="s">
        <v>38</v>
      </c>
      <c r="F26" s="12" t="s">
        <v>56</v>
      </c>
      <c r="G26" s="12" t="s">
        <v>57</v>
      </c>
      <c r="H26" s="12" t="s">
        <v>58</v>
      </c>
      <c r="I26" s="12" t="s">
        <v>59</v>
      </c>
      <c r="J26" s="12" t="s">
        <v>60</v>
      </c>
    </row>
    <row r="27" customFormat="false" ht="15" hidden="false" customHeight="false" outlineLevel="0" collapsed="false">
      <c r="A27" s="6" t="s">
        <v>61</v>
      </c>
      <c r="B27" s="6" t="s">
        <v>62</v>
      </c>
      <c r="C27" s="7" t="n">
        <v>15</v>
      </c>
      <c r="D27" s="6" t="n">
        <v>50</v>
      </c>
      <c r="E27" s="13" t="n">
        <f aca="false">$B$7</f>
        <v>300</v>
      </c>
      <c r="F27" s="14" t="n">
        <f aca="false">C27*E27</f>
        <v>4500</v>
      </c>
      <c r="G27" s="19" t="n">
        <v>0.3</v>
      </c>
      <c r="H27" s="14" t="n">
        <f aca="false">F27*G27</f>
        <v>1350</v>
      </c>
      <c r="I27" s="6" t="s">
        <v>63</v>
      </c>
      <c r="J27" s="6" t="s">
        <v>64</v>
      </c>
    </row>
    <row r="28" customFormat="false" ht="15" hidden="false" customHeight="false" outlineLevel="0" collapsed="false">
      <c r="A28" s="6" t="s">
        <v>65</v>
      </c>
      <c r="B28" s="6" t="s">
        <v>66</v>
      </c>
      <c r="C28" s="7" t="n">
        <v>12</v>
      </c>
      <c r="D28" s="6" t="n">
        <v>50</v>
      </c>
      <c r="E28" s="13" t="n">
        <f aca="false">$B$7</f>
        <v>300</v>
      </c>
      <c r="F28" s="14" t="n">
        <f aca="false">C28*E28</f>
        <v>3600</v>
      </c>
      <c r="G28" s="19" t="n">
        <v>0.4</v>
      </c>
      <c r="H28" s="14" t="n">
        <f aca="false">F28*G28</f>
        <v>1440</v>
      </c>
      <c r="I28" s="6" t="s">
        <v>67</v>
      </c>
      <c r="J28" s="6" t="s">
        <v>68</v>
      </c>
    </row>
    <row r="29" customFormat="false" ht="15" hidden="false" customHeight="false" outlineLevel="0" collapsed="false">
      <c r="A29" s="6" t="s">
        <v>69</v>
      </c>
      <c r="B29" s="6" t="s">
        <v>70</v>
      </c>
      <c r="C29" s="7" t="n">
        <v>8</v>
      </c>
      <c r="D29" s="6" t="n">
        <v>50</v>
      </c>
      <c r="E29" s="13" t="n">
        <f aca="false">$B$7</f>
        <v>300</v>
      </c>
      <c r="F29" s="14" t="n">
        <f aca="false">C29*E29</f>
        <v>2400</v>
      </c>
      <c r="G29" s="19" t="n">
        <v>0.5</v>
      </c>
      <c r="H29" s="14" t="n">
        <f aca="false">F29*G29</f>
        <v>1200</v>
      </c>
      <c r="I29" s="6" t="s">
        <v>71</v>
      </c>
      <c r="J29" s="6" t="s">
        <v>72</v>
      </c>
    </row>
    <row r="30" customFormat="false" ht="15" hidden="false" customHeight="false" outlineLevel="0" collapsed="false">
      <c r="A30" s="6" t="s">
        <v>73</v>
      </c>
      <c r="B30" s="6" t="s">
        <v>74</v>
      </c>
      <c r="C30" s="7" t="n">
        <v>5</v>
      </c>
      <c r="D30" s="6" t="n">
        <v>50</v>
      </c>
      <c r="E30" s="13" t="n">
        <f aca="false">$B$7</f>
        <v>300</v>
      </c>
      <c r="F30" s="14" t="n">
        <f aca="false">C30*E30</f>
        <v>1500</v>
      </c>
      <c r="G30" s="19" t="n">
        <v>0.6</v>
      </c>
      <c r="H30" s="14" t="n">
        <f aca="false">F30*G30</f>
        <v>900</v>
      </c>
      <c r="I30" s="6" t="s">
        <v>75</v>
      </c>
      <c r="J30" s="6" t="s">
        <v>76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7" t="n">
        <v>5</v>
      </c>
      <c r="D31" s="6" t="n">
        <v>50</v>
      </c>
      <c r="E31" s="13" t="n">
        <f aca="false">$B$7</f>
        <v>300</v>
      </c>
      <c r="F31" s="14" t="n">
        <f aca="false">C31*E31</f>
        <v>1500</v>
      </c>
      <c r="G31" s="19" t="n">
        <v>0.25</v>
      </c>
      <c r="H31" s="14" t="n">
        <f aca="false">F31*G31</f>
        <v>375</v>
      </c>
      <c r="I31" s="6" t="s">
        <v>79</v>
      </c>
      <c r="J31" s="6" t="s">
        <v>80</v>
      </c>
    </row>
    <row r="32" customFormat="false" ht="15" hidden="false" customHeight="false" outlineLevel="0" collapsed="false">
      <c r="A32" s="6" t="s">
        <v>81</v>
      </c>
      <c r="B32" s="6" t="s">
        <v>82</v>
      </c>
      <c r="C32" s="7" t="n">
        <v>5</v>
      </c>
      <c r="D32" s="6" t="n">
        <v>50</v>
      </c>
      <c r="E32" s="13" t="n">
        <f aca="false">$B$7</f>
        <v>300</v>
      </c>
      <c r="F32" s="14" t="n">
        <f aca="false">C32*E32</f>
        <v>1500</v>
      </c>
      <c r="G32" s="19" t="n">
        <v>0.2</v>
      </c>
      <c r="H32" s="14" t="n">
        <f aca="false">F32*G32</f>
        <v>300</v>
      </c>
      <c r="I32" s="6" t="s">
        <v>83</v>
      </c>
      <c r="J32" s="6" t="s">
        <v>84</v>
      </c>
    </row>
    <row r="33" customFormat="false" ht="15" hidden="false" customHeight="false" outlineLevel="0" collapsed="false">
      <c r="G33" s="15" t="s">
        <v>85</v>
      </c>
      <c r="H33" s="16" t="n">
        <f aca="false">SUM(H27:H32)</f>
        <v>5565</v>
      </c>
    </row>
    <row r="36" customFormat="false" ht="15" hidden="false" customHeight="false" outlineLevel="0" collapsed="false">
      <c r="A36" s="3" t="s">
        <v>86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12"/>
      <c r="B37" s="12" t="s">
        <v>87</v>
      </c>
      <c r="C37" s="12" t="s">
        <v>88</v>
      </c>
      <c r="D37" s="12" t="s">
        <v>89</v>
      </c>
      <c r="E37" s="12" t="s">
        <v>90</v>
      </c>
      <c r="F37" s="12" t="s">
        <v>91</v>
      </c>
      <c r="G37" s="12" t="s">
        <v>92</v>
      </c>
    </row>
    <row r="38" customFormat="false" ht="15" hidden="false" customHeight="false" outlineLevel="0" collapsed="false">
      <c r="A38" s="6" t="s">
        <v>93</v>
      </c>
      <c r="B38" s="20" t="n">
        <v>900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</row>
    <row r="39" customFormat="false" ht="15" hidden="false" customHeight="false" outlineLevel="0" collapsed="false">
      <c r="A39" s="6" t="s">
        <v>94</v>
      </c>
      <c r="B39" s="20" t="n">
        <v>0</v>
      </c>
      <c r="C39" s="20" t="n">
        <v>600</v>
      </c>
      <c r="D39" s="20" t="n">
        <v>2400</v>
      </c>
      <c r="E39" s="20" t="n">
        <v>2400</v>
      </c>
      <c r="F39" s="20" t="n">
        <v>600</v>
      </c>
      <c r="G39" s="20" t="n">
        <v>0</v>
      </c>
    </row>
    <row r="40" customFormat="false" ht="15" hidden="false" customHeight="false" outlineLevel="0" collapsed="false">
      <c r="A40" s="6" t="s">
        <v>95</v>
      </c>
      <c r="B40" s="20" t="n">
        <v>0</v>
      </c>
      <c r="C40" s="20" t="n">
        <v>0</v>
      </c>
      <c r="D40" s="20" t="n">
        <v>450</v>
      </c>
      <c r="E40" s="20" t="n">
        <v>675</v>
      </c>
      <c r="F40" s="20" t="n">
        <v>225</v>
      </c>
      <c r="G40" s="20" t="n">
        <v>0</v>
      </c>
    </row>
    <row r="41" customFormat="false" ht="15" hidden="false" customHeight="false" outlineLevel="0" collapsed="false">
      <c r="A41" s="6" t="s">
        <v>96</v>
      </c>
      <c r="B41" s="20" t="n">
        <v>0</v>
      </c>
      <c r="C41" s="20" t="n">
        <v>0</v>
      </c>
      <c r="D41" s="20" t="n">
        <v>480</v>
      </c>
      <c r="E41" s="20" t="n">
        <v>720</v>
      </c>
      <c r="F41" s="20" t="n">
        <v>360</v>
      </c>
      <c r="G41" s="20" t="n">
        <v>240</v>
      </c>
    </row>
    <row r="42" customFormat="false" ht="15" hidden="false" customHeight="false" outlineLevel="0" collapsed="false">
      <c r="A42" s="6" t="s">
        <v>97</v>
      </c>
      <c r="B42" s="20" t="n">
        <v>0</v>
      </c>
      <c r="C42" s="20" t="n">
        <v>200</v>
      </c>
      <c r="D42" s="20" t="n">
        <v>600</v>
      </c>
      <c r="E42" s="20" t="n">
        <v>400</v>
      </c>
      <c r="F42" s="20" t="n">
        <v>200</v>
      </c>
      <c r="G42" s="20" t="n">
        <v>0</v>
      </c>
    </row>
    <row r="43" customFormat="false" ht="15" hidden="false" customHeight="false" outlineLevel="0" collapsed="false">
      <c r="A43" s="6" t="s">
        <v>98</v>
      </c>
      <c r="B43" s="20" t="n">
        <v>0</v>
      </c>
      <c r="C43" s="20" t="n">
        <v>300</v>
      </c>
      <c r="D43" s="20" t="n">
        <v>450</v>
      </c>
      <c r="E43" s="20" t="n">
        <v>150</v>
      </c>
      <c r="F43" s="20" t="n">
        <v>0</v>
      </c>
      <c r="G43" s="20" t="n">
        <v>0</v>
      </c>
    </row>
    <row r="44" customFormat="false" ht="15" hidden="false" customHeight="false" outlineLevel="0" collapsed="false">
      <c r="A44" s="6" t="s">
        <v>99</v>
      </c>
      <c r="B44" s="20" t="n">
        <v>0</v>
      </c>
      <c r="C44" s="20" t="n">
        <v>0</v>
      </c>
      <c r="D44" s="20" t="n">
        <v>0</v>
      </c>
      <c r="E44" s="20" t="n">
        <v>125</v>
      </c>
      <c r="F44" s="20" t="n">
        <v>188</v>
      </c>
      <c r="G44" s="20" t="n">
        <v>63</v>
      </c>
    </row>
    <row r="45" customFormat="false" ht="15" hidden="false" customHeight="false" outlineLevel="0" collapsed="false">
      <c r="A45" s="6" t="s">
        <v>100</v>
      </c>
      <c r="B45" s="20" t="n">
        <v>0</v>
      </c>
      <c r="C45" s="20" t="n">
        <v>0</v>
      </c>
      <c r="D45" s="20" t="n">
        <v>0</v>
      </c>
      <c r="E45" s="20" t="n">
        <v>0</v>
      </c>
      <c r="F45" s="20" t="n">
        <v>120</v>
      </c>
      <c r="G45" s="20" t="n">
        <v>180</v>
      </c>
    </row>
    <row r="46" customFormat="false" ht="15" hidden="false" customHeight="false" outlineLevel="0" collapsed="false">
      <c r="A46" s="21" t="s">
        <v>101</v>
      </c>
      <c r="B46" s="22" t="n">
        <f aca="false">SUM(B38:B45)</f>
        <v>900</v>
      </c>
      <c r="C46" s="22" t="n">
        <f aca="false">SUM(C38:C45)</f>
        <v>1100</v>
      </c>
      <c r="D46" s="22" t="n">
        <f aca="false">SUM(D38:D45)</f>
        <v>4380</v>
      </c>
      <c r="E46" s="22" t="n">
        <f aca="false">SUM(E38:E45)</f>
        <v>4470</v>
      </c>
      <c r="F46" s="22" t="n">
        <f aca="false">SUM(F38:F45)</f>
        <v>1693</v>
      </c>
      <c r="G46" s="22" t="n">
        <f aca="false">SUM(G38:G45)</f>
        <v>483</v>
      </c>
    </row>
    <row r="48" customFormat="false" ht="15" hidden="false" customHeight="false" outlineLevel="0" collapsed="false">
      <c r="A48" s="23" t="s">
        <v>102</v>
      </c>
      <c r="B48" s="24" t="n">
        <f aca="false">B46*$B$12</f>
        <v>36</v>
      </c>
      <c r="C48" s="24" t="n">
        <f aca="false">B48+C46*$B$12</f>
        <v>80</v>
      </c>
      <c r="D48" s="24" t="n">
        <f aca="false">C48+D46*$B$12</f>
        <v>255.2</v>
      </c>
      <c r="E48" s="24" t="n">
        <f aca="false">D48+E46*$B$12</f>
        <v>434</v>
      </c>
      <c r="F48" s="24" t="n">
        <f aca="false">E48+F46*$B$12</f>
        <v>501.72</v>
      </c>
      <c r="G48" s="24" t="n">
        <f aca="false">F48+G46*$B$12</f>
        <v>521.04</v>
      </c>
    </row>
    <row r="49" customFormat="false" ht="15" hidden="false" customHeight="false" outlineLevel="0" collapsed="false">
      <c r="A49" s="25" t="s">
        <v>103</v>
      </c>
      <c r="B49" s="26" t="n">
        <f aca="false">B46+B48</f>
        <v>936</v>
      </c>
      <c r="C49" s="26" t="n">
        <f aca="false">C46+C48</f>
        <v>1180</v>
      </c>
      <c r="D49" s="26" t="n">
        <f aca="false">D46+D48</f>
        <v>4635.2</v>
      </c>
      <c r="E49" s="26" t="n">
        <f aca="false">E46+E48</f>
        <v>4904</v>
      </c>
      <c r="F49" s="26" t="n">
        <f aca="false">F46+F48</f>
        <v>2194.72</v>
      </c>
      <c r="G49" s="26" t="n">
        <f aca="false">G46+G48</f>
        <v>1004.04</v>
      </c>
    </row>
    <row r="52" customFormat="false" ht="15" hidden="false" customHeight="false" outlineLevel="0" collapsed="false">
      <c r="A52" s="3" t="s">
        <v>104</v>
      </c>
      <c r="B52" s="4"/>
      <c r="C52" s="4"/>
      <c r="D52" s="4"/>
      <c r="E52" s="4"/>
      <c r="F52" s="4"/>
      <c r="G52" s="4"/>
      <c r="H52" s="4"/>
    </row>
    <row r="53" customFormat="false" ht="15" hidden="false" customHeight="false" outlineLevel="0" collapsed="false">
      <c r="A53" s="12"/>
      <c r="B53" s="12" t="s">
        <v>87</v>
      </c>
      <c r="C53" s="12" t="s">
        <v>88</v>
      </c>
      <c r="D53" s="12" t="s">
        <v>89</v>
      </c>
      <c r="E53" s="12" t="s">
        <v>90</v>
      </c>
      <c r="F53" s="12" t="s">
        <v>91</v>
      </c>
      <c r="G53" s="12" t="s">
        <v>92</v>
      </c>
    </row>
    <row r="54" customFormat="false" ht="15" hidden="false" customHeight="false" outlineLevel="0" collapsed="false">
      <c r="A54" s="23" t="s">
        <v>105</v>
      </c>
      <c r="B54" s="27" t="n">
        <f aca="false">B49</f>
        <v>936</v>
      </c>
      <c r="C54" s="27" t="n">
        <f aca="false">C49</f>
        <v>1180</v>
      </c>
      <c r="D54" s="27" t="n">
        <f aca="false">D49</f>
        <v>4635.2</v>
      </c>
      <c r="E54" s="27" t="n">
        <f aca="false">E49</f>
        <v>4904</v>
      </c>
      <c r="F54" s="27" t="n">
        <f aca="false">F49</f>
        <v>2194.72</v>
      </c>
      <c r="G54" s="27" t="n">
        <f aca="false">G49</f>
        <v>1004.04</v>
      </c>
    </row>
    <row r="55" customFormat="false" ht="15" hidden="false" customHeight="false" outlineLevel="0" collapsed="false">
      <c r="A55" s="23" t="s">
        <v>106</v>
      </c>
      <c r="B55" s="27" t="n">
        <f aca="false">B54*(1-$B$8)</f>
        <v>636.48</v>
      </c>
      <c r="C55" s="27" t="n">
        <f aca="false">C54*(1-$B$8)</f>
        <v>802.4</v>
      </c>
      <c r="D55" s="27" t="n">
        <f aca="false">D54*(1-$B$8)</f>
        <v>3151.936</v>
      </c>
      <c r="E55" s="27" t="n">
        <f aca="false">E54*(1-$B$8)</f>
        <v>3334.72</v>
      </c>
      <c r="F55" s="27" t="n">
        <f aca="false">F54*(1-$B$8)</f>
        <v>1492.4096</v>
      </c>
      <c r="G55" s="27" t="n">
        <f aca="false">G54*(1-$B$8)</f>
        <v>682.7472</v>
      </c>
    </row>
    <row r="56" customFormat="false" ht="15" hidden="false" customHeight="false" outlineLevel="0" collapsed="false">
      <c r="A56" s="23" t="s">
        <v>107</v>
      </c>
      <c r="B56" s="27" t="n">
        <f aca="false">B54-B55</f>
        <v>299.52</v>
      </c>
      <c r="C56" s="27" t="n">
        <f aca="false">C54-C55</f>
        <v>377.6</v>
      </c>
      <c r="D56" s="27" t="n">
        <f aca="false">D54-D55</f>
        <v>1483.264</v>
      </c>
      <c r="E56" s="27" t="n">
        <f aca="false">E54-E55</f>
        <v>1569.28</v>
      </c>
      <c r="F56" s="27" t="n">
        <f aca="false">F54-F55</f>
        <v>702.3104</v>
      </c>
      <c r="G56" s="27" t="n">
        <f aca="false">G54-G55</f>
        <v>321.2928</v>
      </c>
    </row>
    <row r="57" customFormat="false" ht="15" hidden="false" customHeight="false" outlineLevel="0" collapsed="false">
      <c r="A57" s="23" t="s">
        <v>108</v>
      </c>
      <c r="B57" s="27" t="n">
        <f aca="false">B54*$B$11</f>
        <v>74.88</v>
      </c>
      <c r="C57" s="27" t="n">
        <f aca="false">C54*$B$11</f>
        <v>94.4</v>
      </c>
      <c r="D57" s="27" t="n">
        <f aca="false">D54*$B$11</f>
        <v>370.816</v>
      </c>
      <c r="E57" s="27" t="n">
        <f aca="false">E54*$B$11</f>
        <v>392.32</v>
      </c>
      <c r="F57" s="27" t="n">
        <f aca="false">F54*$B$11</f>
        <v>175.5776</v>
      </c>
      <c r="G57" s="27" t="n">
        <f aca="false">G54*$B$11</f>
        <v>80.3232</v>
      </c>
    </row>
    <row r="58" customFormat="false" ht="15" hidden="false" customHeight="false" outlineLevel="0" collapsed="false">
      <c r="A58" s="23" t="s">
        <v>109</v>
      </c>
      <c r="B58" s="27" t="n">
        <f aca="false">B56-B57</f>
        <v>224.64</v>
      </c>
      <c r="C58" s="27" t="n">
        <f aca="false">C56-C57</f>
        <v>283.2</v>
      </c>
      <c r="D58" s="27" t="n">
        <f aca="false">D56-D57</f>
        <v>1112.448</v>
      </c>
      <c r="E58" s="27" t="n">
        <f aca="false">E56-E57</f>
        <v>1176.96</v>
      </c>
      <c r="F58" s="27" t="n">
        <f aca="false">F56-F57</f>
        <v>526.7328</v>
      </c>
      <c r="G58" s="27" t="n">
        <f aca="false">G56-G57</f>
        <v>240.9696</v>
      </c>
    </row>
    <row r="59" customFormat="false" ht="15" hidden="false" customHeight="false" outlineLevel="0" collapsed="false">
      <c r="A59" s="23" t="s">
        <v>110</v>
      </c>
      <c r="B59" s="27" t="n">
        <f aca="false">B58*$B$10</f>
        <v>33.696</v>
      </c>
      <c r="C59" s="27" t="n">
        <f aca="false">C58*$B$10</f>
        <v>42.48</v>
      </c>
      <c r="D59" s="27" t="n">
        <f aca="false">D58*$B$10</f>
        <v>166.8672</v>
      </c>
      <c r="E59" s="27" t="n">
        <f aca="false">E58*$B$10</f>
        <v>176.544</v>
      </c>
      <c r="F59" s="27" t="n">
        <f aca="false">F58*$B$10</f>
        <v>79.00992</v>
      </c>
      <c r="G59" s="27" t="n">
        <f aca="false">G58*$B$10</f>
        <v>36.14544</v>
      </c>
    </row>
    <row r="60" customFormat="false" ht="15" hidden="false" customHeight="false" outlineLevel="0" collapsed="false">
      <c r="A60" s="15" t="s">
        <v>111</v>
      </c>
      <c r="B60" s="16" t="n">
        <f aca="false">B58-B59</f>
        <v>190.944</v>
      </c>
      <c r="C60" s="16" t="n">
        <f aca="false">C58-C59</f>
        <v>240.72</v>
      </c>
      <c r="D60" s="16" t="n">
        <f aca="false">D58-D59</f>
        <v>945.5808</v>
      </c>
      <c r="E60" s="16" t="n">
        <f aca="false">E58-E59</f>
        <v>1000.416</v>
      </c>
      <c r="F60" s="16" t="n">
        <f aca="false">F58-F59</f>
        <v>447.72288</v>
      </c>
      <c r="G60" s="16" t="n">
        <f aca="false">G58-G59</f>
        <v>204.82416</v>
      </c>
    </row>
    <row r="61" customFormat="false" ht="15" hidden="false" customHeight="false" outlineLevel="0" collapsed="false">
      <c r="A61" s="23"/>
    </row>
    <row r="62" customFormat="false" ht="15" hidden="false" customHeight="false" outlineLevel="0" collapsed="false">
      <c r="A62" s="28" t="s">
        <v>112</v>
      </c>
      <c r="B62" s="29" t="n">
        <v>3200</v>
      </c>
      <c r="C62" s="29" t="n">
        <v>3500</v>
      </c>
      <c r="D62" s="29" t="n">
        <v>3800</v>
      </c>
      <c r="E62" s="29" t="n">
        <v>4100</v>
      </c>
      <c r="F62" s="29" t="n">
        <v>4400</v>
      </c>
      <c r="G62" s="29" t="n">
        <v>4700</v>
      </c>
    </row>
    <row r="63" customFormat="false" ht="15" hidden="false" customHeight="false" outlineLevel="0" collapsed="false">
      <c r="A63" s="23" t="s">
        <v>113</v>
      </c>
      <c r="B63" s="30" t="n">
        <f aca="false">B62+B60</f>
        <v>3390.944</v>
      </c>
      <c r="C63" s="30" t="n">
        <f aca="false">C62+C60</f>
        <v>3740.72</v>
      </c>
      <c r="D63" s="30" t="n">
        <f aca="false">D62+D60</f>
        <v>4745.5808</v>
      </c>
      <c r="E63" s="30" t="n">
        <f aca="false">E62+E60</f>
        <v>5100.416</v>
      </c>
      <c r="F63" s="30" t="n">
        <f aca="false">F62+F60</f>
        <v>4847.72288</v>
      </c>
      <c r="G63" s="30" t="n">
        <f aca="false">G62+G60</f>
        <v>4904.82416</v>
      </c>
    </row>
    <row r="64" customFormat="false" ht="15" hidden="false" customHeight="false" outlineLevel="0" collapsed="false">
      <c r="A64" s="15" t="s">
        <v>114</v>
      </c>
      <c r="B64" s="31" t="n">
        <f aca="false">IF(B62=0,0,B60/B62)</f>
        <v>0.05967</v>
      </c>
      <c r="C64" s="31" t="n">
        <f aca="false">IF(C62=0,0,C60/C62)</f>
        <v>0.0687771428571429</v>
      </c>
      <c r="D64" s="31" t="n">
        <f aca="false">IF(D62=0,0,D60/D62)</f>
        <v>0.248837052631579</v>
      </c>
      <c r="E64" s="31" t="n">
        <f aca="false">IF(E62=0,0,E60/E62)</f>
        <v>0.244003902439024</v>
      </c>
      <c r="F64" s="31" t="n">
        <f aca="false">IF(F62=0,0,F60/F62)</f>
        <v>0.1017552</v>
      </c>
      <c r="G64" s="31" t="n">
        <f aca="false">IF(G62=0,0,G60/G62)</f>
        <v>0.0435796085106383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1" min="2" style="0" width="16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4"/>
      <c r="C4" s="4"/>
      <c r="D4" s="4"/>
      <c r="E4" s="4"/>
    </row>
    <row r="5" customFormat="false" ht="15" hidden="false" customHeight="false" outlineLevel="0" collapsed="false">
      <c r="A5" s="23" t="s">
        <v>118</v>
      </c>
      <c r="B5" s="20" t="n">
        <v>42.74</v>
      </c>
      <c r="C5" s="28" t="s">
        <v>119</v>
      </c>
      <c r="D5" s="28" t="s">
        <v>120</v>
      </c>
    </row>
    <row r="6" customFormat="false" ht="15" hidden="false" customHeight="false" outlineLevel="0" collapsed="false">
      <c r="A6" s="23" t="s">
        <v>121</v>
      </c>
      <c r="B6" s="20" t="n">
        <v>3055</v>
      </c>
      <c r="C6" s="28" t="s">
        <v>122</v>
      </c>
      <c r="D6" s="28" t="s">
        <v>123</v>
      </c>
    </row>
    <row r="7" customFormat="false" ht="15" hidden="false" customHeight="false" outlineLevel="0" collapsed="false">
      <c r="A7" s="23" t="s">
        <v>124</v>
      </c>
      <c r="B7" s="14" t="n">
        <f aca="false">B5*B6</f>
        <v>130570.7</v>
      </c>
      <c r="C7" s="28" t="s">
        <v>125</v>
      </c>
      <c r="D7" s="28" t="n">
        <f aca="false">B5*B6</f>
        <v>130570.7</v>
      </c>
    </row>
    <row r="8" customFormat="false" ht="15" hidden="false" customHeight="false" outlineLevel="0" collapsed="false">
      <c r="A8" s="23" t="s">
        <v>126</v>
      </c>
      <c r="B8" s="32" t="n">
        <v>0.92</v>
      </c>
      <c r="C8" s="28"/>
      <c r="D8" s="28" t="s">
        <v>127</v>
      </c>
    </row>
    <row r="9" customFormat="false" ht="15" hidden="false" customHeight="false" outlineLevel="0" collapsed="false">
      <c r="A9" s="23" t="s">
        <v>128</v>
      </c>
      <c r="B9" s="14" t="n">
        <f aca="false">B7*B8</f>
        <v>120125.044</v>
      </c>
      <c r="C9" s="28" t="s">
        <v>8</v>
      </c>
      <c r="D9" s="28" t="n">
        <f aca="false">B7*B8</f>
        <v>120125.044</v>
      </c>
    </row>
    <row r="10" customFormat="false" ht="15" hidden="false" customHeight="false" outlineLevel="0" collapsed="false">
      <c r="A10" s="23" t="s">
        <v>129</v>
      </c>
      <c r="B10" s="20" t="n">
        <v>5000</v>
      </c>
      <c r="C10" s="28" t="s">
        <v>8</v>
      </c>
      <c r="D10" s="28" t="s">
        <v>130</v>
      </c>
    </row>
    <row r="11" customFormat="false" ht="15" hidden="false" customHeight="false" outlineLevel="0" collapsed="false">
      <c r="A11" s="23" t="s">
        <v>131</v>
      </c>
      <c r="B11" s="14" t="n">
        <f aca="false">B9+B10</f>
        <v>125125.044</v>
      </c>
      <c r="C11" s="28" t="s">
        <v>8</v>
      </c>
      <c r="D11" s="28" t="n">
        <f aca="false">B9+B10</f>
        <v>125125.044</v>
      </c>
    </row>
    <row r="14" customFormat="false" ht="15" hidden="false" customHeight="false" outlineLevel="0" collapsed="false">
      <c r="A14" s="10" t="s">
        <v>132</v>
      </c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2" t="s">
        <v>133</v>
      </c>
      <c r="B15" s="12" t="s">
        <v>134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139</v>
      </c>
      <c r="H15" s="12" t="s">
        <v>140</v>
      </c>
    </row>
    <row r="16" customFormat="false" ht="15" hidden="false" customHeight="false" outlineLevel="0" collapsed="false">
      <c r="A16" s="6" t="s">
        <v>141</v>
      </c>
      <c r="B16" s="20" t="n">
        <v>20000</v>
      </c>
      <c r="C16" s="20" t="n">
        <v>2000</v>
      </c>
      <c r="D16" s="33" t="n">
        <v>12</v>
      </c>
      <c r="E16" s="14" t="n">
        <f aca="false">C16*D16</f>
        <v>24000</v>
      </c>
      <c r="F16" s="34" t="n">
        <f aca="false">E16/E23</f>
        <v>0.262008733624454</v>
      </c>
      <c r="G16" s="8" t="s">
        <v>142</v>
      </c>
      <c r="H16" s="8" t="s">
        <v>143</v>
      </c>
    </row>
    <row r="17" customFormat="false" ht="15" hidden="false" customHeight="false" outlineLevel="0" collapsed="false">
      <c r="A17" s="6" t="s">
        <v>144</v>
      </c>
      <c r="B17" s="20" t="n">
        <v>5000</v>
      </c>
      <c r="C17" s="20" t="n">
        <v>1200</v>
      </c>
      <c r="D17" s="33" t="n">
        <v>22</v>
      </c>
      <c r="E17" s="14" t="n">
        <f aca="false">C17*D17</f>
        <v>26400</v>
      </c>
      <c r="F17" s="34" t="n">
        <f aca="false">E17/E23</f>
        <v>0.2882096069869</v>
      </c>
      <c r="G17" s="8" t="s">
        <v>145</v>
      </c>
      <c r="H17" s="8" t="s">
        <v>146</v>
      </c>
    </row>
    <row r="18" customFormat="false" ht="15" hidden="false" customHeight="false" outlineLevel="0" collapsed="false">
      <c r="A18" s="6" t="s">
        <v>147</v>
      </c>
      <c r="B18" s="20" t="n">
        <v>16000</v>
      </c>
      <c r="C18" s="20" t="n">
        <v>1500</v>
      </c>
      <c r="D18" s="33" t="n">
        <v>14</v>
      </c>
      <c r="E18" s="14" t="n">
        <f aca="false">C18*D18</f>
        <v>21000</v>
      </c>
      <c r="F18" s="34" t="n">
        <f aca="false">E18/E23</f>
        <v>0.229257641921397</v>
      </c>
      <c r="G18" s="8" t="s">
        <v>142</v>
      </c>
      <c r="H18" s="8" t="s">
        <v>148</v>
      </c>
    </row>
    <row r="19" customFormat="false" ht="15" hidden="false" customHeight="false" outlineLevel="0" collapsed="false">
      <c r="A19" s="6" t="s">
        <v>149</v>
      </c>
      <c r="B19" s="20" t="n">
        <v>5000</v>
      </c>
      <c r="C19" s="20" t="n">
        <v>500</v>
      </c>
      <c r="D19" s="33" t="n">
        <v>18</v>
      </c>
      <c r="E19" s="14" t="n">
        <f aca="false">C19*D19</f>
        <v>9000</v>
      </c>
      <c r="F19" s="34" t="n">
        <f aca="false">E19/E23</f>
        <v>0.0982532751091703</v>
      </c>
      <c r="G19" s="8" t="s">
        <v>142</v>
      </c>
      <c r="H19" s="8" t="s">
        <v>150</v>
      </c>
    </row>
    <row r="20" customFormat="false" ht="15" hidden="false" customHeight="false" outlineLevel="0" collapsed="false">
      <c r="A20" s="6" t="s">
        <v>151</v>
      </c>
      <c r="B20" s="20" t="n">
        <v>16000</v>
      </c>
      <c r="C20" s="20" t="n">
        <v>800</v>
      </c>
      <c r="D20" s="33" t="n">
        <v>7</v>
      </c>
      <c r="E20" s="14" t="n">
        <f aca="false">C20*D20</f>
        <v>5600</v>
      </c>
      <c r="F20" s="34" t="n">
        <f aca="false">E20/E23</f>
        <v>0.0611353711790393</v>
      </c>
      <c r="G20" s="8" t="s">
        <v>142</v>
      </c>
      <c r="H20" s="8" t="s">
        <v>152</v>
      </c>
    </row>
    <row r="21" customFormat="false" ht="15" hidden="false" customHeight="false" outlineLevel="0" collapsed="false">
      <c r="A21" s="6" t="s">
        <v>153</v>
      </c>
      <c r="B21" s="20" t="n">
        <v>4000</v>
      </c>
      <c r="C21" s="20" t="n">
        <v>400</v>
      </c>
      <c r="D21" s="33" t="n">
        <v>9</v>
      </c>
      <c r="E21" s="14" t="n">
        <f aca="false">C21*D21</f>
        <v>3600</v>
      </c>
      <c r="F21" s="34" t="n">
        <f aca="false">E21/E23</f>
        <v>0.0393013100436681</v>
      </c>
      <c r="G21" s="8" t="s">
        <v>142</v>
      </c>
      <c r="H21" s="8" t="s">
        <v>154</v>
      </c>
    </row>
    <row r="22" customFormat="false" ht="15" hidden="false" customHeight="false" outlineLevel="0" collapsed="false">
      <c r="A22" s="6" t="s">
        <v>155</v>
      </c>
      <c r="B22" s="20" t="n">
        <v>2000</v>
      </c>
      <c r="C22" s="20"/>
      <c r="D22" s="33"/>
      <c r="E22" s="14" t="n">
        <f aca="false">B22*1</f>
        <v>2000</v>
      </c>
      <c r="F22" s="34" t="n">
        <f aca="false">E22/E23</f>
        <v>0.0218340611353712</v>
      </c>
      <c r="G22" s="8" t="s">
        <v>156</v>
      </c>
      <c r="H22" s="8" t="s">
        <v>157</v>
      </c>
    </row>
    <row r="23" customFormat="false" ht="15" hidden="false" customHeight="false" outlineLevel="0" collapsed="false">
      <c r="A23" s="21" t="s">
        <v>158</v>
      </c>
      <c r="E23" s="22" t="n">
        <f aca="false">SUM(E16:E22)</f>
        <v>91600</v>
      </c>
    </row>
    <row r="25" customFormat="false" ht="15" hidden="false" customHeight="false" outlineLevel="0" collapsed="false">
      <c r="A25" s="23" t="s">
        <v>159</v>
      </c>
      <c r="E25" s="24" t="n">
        <f aca="false">-B10</f>
        <v>-5000</v>
      </c>
    </row>
    <row r="26" customFormat="false" ht="15" hidden="false" customHeight="false" outlineLevel="0" collapsed="false">
      <c r="A26" s="15" t="s">
        <v>160</v>
      </c>
      <c r="E26" s="16" t="n">
        <f aca="false">E23+E25</f>
        <v>86600</v>
      </c>
    </row>
    <row r="28" customFormat="false" ht="15" hidden="false" customHeight="false" outlineLevel="0" collapsed="false">
      <c r="A28" s="35" t="s">
        <v>161</v>
      </c>
      <c r="B28" s="36"/>
      <c r="C28" s="36"/>
      <c r="D28" s="36"/>
      <c r="E28" s="36"/>
    </row>
    <row r="29" customFormat="false" ht="15" hidden="false" customHeight="false" outlineLevel="0" collapsed="false">
      <c r="A29" s="23" t="s">
        <v>162</v>
      </c>
      <c r="E29" s="14" t="n">
        <f aca="false">B9</f>
        <v>120125.044</v>
      </c>
    </row>
    <row r="30" customFormat="false" ht="15" hidden="false" customHeight="false" outlineLevel="0" collapsed="false">
      <c r="A30" s="23" t="s">
        <v>163</v>
      </c>
      <c r="E30" s="14" t="n">
        <f aca="false">E26</f>
        <v>86600</v>
      </c>
    </row>
    <row r="31" customFormat="false" ht="15" hidden="false" customHeight="false" outlineLevel="0" collapsed="false">
      <c r="A31" s="15" t="s">
        <v>164</v>
      </c>
      <c r="E31" s="37" t="n">
        <f aca="false">E30/E29-1</f>
        <v>-0.279084551261434</v>
      </c>
    </row>
    <row r="32" customFormat="false" ht="15" hidden="false" customHeight="false" outlineLevel="0" collapsed="false">
      <c r="A32" s="23" t="s">
        <v>165</v>
      </c>
      <c r="E32" s="14" t="n">
        <f aca="false">E30/B6/B8</f>
        <v>30.8119262790863</v>
      </c>
    </row>
    <row r="33" customFormat="false" ht="15" hidden="false" customHeight="false" outlineLevel="0" collapsed="false">
      <c r="A33" s="23"/>
    </row>
    <row r="34" customFormat="false" ht="15" hidden="false" customHeight="false" outlineLevel="0" collapsed="false">
      <c r="A34" s="15" t="s">
        <v>166</v>
      </c>
      <c r="E34" s="14" t="n">
        <f aca="false">E17</f>
        <v>26400</v>
      </c>
    </row>
    <row r="35" customFormat="false" ht="15" hidden="false" customHeight="false" outlineLevel="0" collapsed="false">
      <c r="A35" s="23" t="s">
        <v>167</v>
      </c>
      <c r="E35" s="14" t="n">
        <f aca="false">B9-(E23-E17)</f>
        <v>54925.044</v>
      </c>
    </row>
    <row r="36" customFormat="false" ht="15" hidden="false" customHeight="false" outlineLevel="0" collapsed="false">
      <c r="A36" s="23" t="s">
        <v>168</v>
      </c>
      <c r="E36" s="14" t="n">
        <f aca="false">E35</f>
        <v>54925.044</v>
      </c>
    </row>
    <row r="39" customFormat="false" ht="15" hidden="false" customHeight="false" outlineLevel="0" collapsed="false">
      <c r="A39" s="38" t="s">
        <v>169</v>
      </c>
    </row>
    <row r="40" customFormat="false" ht="15" hidden="false" customHeight="false" outlineLevel="0" collapsed="false">
      <c r="A40" s="15" t="s">
        <v>170</v>
      </c>
      <c r="B40" s="39" t="n">
        <v>15</v>
      </c>
      <c r="C40" s="39" t="n">
        <v>18</v>
      </c>
      <c r="D40" s="39" t="n">
        <v>20</v>
      </c>
      <c r="E40" s="39" t="n">
        <v>22</v>
      </c>
      <c r="F40" s="39" t="n">
        <v>25</v>
      </c>
      <c r="G40" s="39" t="n">
        <v>30</v>
      </c>
    </row>
    <row r="41" customFormat="false" ht="15" hidden="false" customHeight="false" outlineLevel="0" collapsed="false">
      <c r="A41" s="15" t="s">
        <v>171</v>
      </c>
    </row>
    <row r="42" customFormat="false" ht="15" hidden="false" customHeight="false" outlineLevel="0" collapsed="false">
      <c r="A42" s="40" t="s">
        <v>172</v>
      </c>
      <c r="B42" s="14" t="n">
        <v>71000</v>
      </c>
      <c r="C42" s="14" t="n">
        <v>73160</v>
      </c>
      <c r="D42" s="14" t="n">
        <v>74600</v>
      </c>
      <c r="E42" s="14" t="n">
        <v>76040</v>
      </c>
      <c r="F42" s="14" t="n">
        <v>78200</v>
      </c>
      <c r="G42" s="14" t="n">
        <v>81800</v>
      </c>
    </row>
    <row r="43" customFormat="false" ht="15" hidden="false" customHeight="false" outlineLevel="0" collapsed="false">
      <c r="A43" s="40" t="s">
        <v>173</v>
      </c>
      <c r="B43" s="14" t="n">
        <v>81800</v>
      </c>
      <c r="C43" s="14" t="n">
        <v>86120</v>
      </c>
      <c r="D43" s="14" t="n">
        <v>89000</v>
      </c>
      <c r="E43" s="14" t="n">
        <v>91880</v>
      </c>
      <c r="F43" s="14" t="n">
        <v>96200</v>
      </c>
      <c r="G43" s="14" t="n">
        <v>103400</v>
      </c>
    </row>
    <row r="44" customFormat="false" ht="15" hidden="false" customHeight="false" outlineLevel="0" collapsed="false">
      <c r="A44" s="40" t="s">
        <v>174</v>
      </c>
      <c r="B44" s="14" t="n">
        <v>92600</v>
      </c>
      <c r="C44" s="14" t="n">
        <v>99080</v>
      </c>
      <c r="D44" s="14" t="n">
        <v>103400</v>
      </c>
      <c r="E44" s="14" t="n">
        <v>107720</v>
      </c>
      <c r="F44" s="14" t="n">
        <v>114200</v>
      </c>
      <c r="G44" s="14" t="n">
        <v>125000</v>
      </c>
    </row>
    <row r="45" customFormat="false" ht="15" hidden="false" customHeight="false" outlineLevel="0" collapsed="false">
      <c r="A45" s="40" t="s">
        <v>175</v>
      </c>
      <c r="B45" s="14" t="n">
        <v>103400</v>
      </c>
      <c r="C45" s="14" t="n">
        <v>112040</v>
      </c>
      <c r="D45" s="14" t="n">
        <v>117800</v>
      </c>
      <c r="E45" s="14" t="n">
        <v>123560</v>
      </c>
      <c r="F45" s="14" t="n">
        <v>132200</v>
      </c>
      <c r="G45" s="14" t="n">
        <v>146600</v>
      </c>
    </row>
    <row r="46" customFormat="false" ht="15" hidden="false" customHeight="false" outlineLevel="0" collapsed="false">
      <c r="A46" s="40" t="s">
        <v>176</v>
      </c>
      <c r="B46" s="14" t="n">
        <v>114200</v>
      </c>
      <c r="C46" s="14" t="n">
        <v>125000</v>
      </c>
      <c r="D46" s="14" t="n">
        <v>132200</v>
      </c>
      <c r="E46" s="14" t="n">
        <v>139400</v>
      </c>
      <c r="F46" s="14" t="n">
        <v>150200</v>
      </c>
      <c r="G46" s="14" t="n">
        <v>168200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41" t="s">
        <v>179</v>
      </c>
      <c r="B4" s="42"/>
      <c r="C4" s="42"/>
      <c r="D4" s="42"/>
      <c r="E4" s="42"/>
    </row>
    <row r="5" customFormat="false" ht="15" hidden="false" customHeight="false" outlineLevel="0" collapsed="false">
      <c r="A5" s="23" t="s">
        <v>180</v>
      </c>
      <c r="B5" s="29" t="n">
        <v>832</v>
      </c>
      <c r="C5" s="28" t="s">
        <v>181</v>
      </c>
    </row>
    <row r="6" customFormat="false" ht="15" hidden="false" customHeight="false" outlineLevel="0" collapsed="false">
      <c r="A6" s="23" t="s">
        <v>182</v>
      </c>
      <c r="B6" s="29" t="n">
        <v>275</v>
      </c>
      <c r="C6" s="28" t="s">
        <v>183</v>
      </c>
    </row>
    <row r="7" customFormat="false" ht="15" hidden="false" customHeight="false" outlineLevel="0" collapsed="false">
      <c r="A7" s="23" t="s">
        <v>184</v>
      </c>
      <c r="B7" s="24" t="n">
        <f aca="false">B5*B6</f>
        <v>228800</v>
      </c>
      <c r="C7" s="28" t="n">
        <f aca="false">B5*B6</f>
        <v>228800</v>
      </c>
    </row>
    <row r="8" customFormat="false" ht="15" hidden="false" customHeight="false" outlineLevel="0" collapsed="false">
      <c r="A8" s="23" t="s">
        <v>185</v>
      </c>
      <c r="B8" s="29" t="n">
        <v>2000</v>
      </c>
      <c r="C8" s="28" t="s">
        <v>186</v>
      </c>
    </row>
    <row r="9" customFormat="false" ht="15" hidden="false" customHeight="false" outlineLevel="0" collapsed="false">
      <c r="A9" s="23" t="s">
        <v>187</v>
      </c>
      <c r="B9" s="24" t="n">
        <f aca="false">B7+B8</f>
        <v>230800</v>
      </c>
      <c r="C9" s="28" t="n">
        <f aca="false">B7+B8</f>
        <v>230800</v>
      </c>
    </row>
    <row r="10" customFormat="false" ht="15" hidden="false" customHeight="false" outlineLevel="0" collapsed="false">
      <c r="A10" s="23"/>
      <c r="C10" s="28"/>
    </row>
    <row r="11" customFormat="false" ht="15" hidden="false" customHeight="false" outlineLevel="0" collapsed="false">
      <c r="A11" s="23" t="s">
        <v>188</v>
      </c>
      <c r="B11" s="43" t="n">
        <v>0.095</v>
      </c>
      <c r="C11" s="28" t="s">
        <v>189</v>
      </c>
    </row>
    <row r="12" customFormat="false" ht="15" hidden="false" customHeight="false" outlineLevel="0" collapsed="false">
      <c r="A12" s="23" t="s">
        <v>190</v>
      </c>
      <c r="B12" s="43" t="n">
        <v>0.03</v>
      </c>
      <c r="C12" s="28" t="s">
        <v>191</v>
      </c>
    </row>
    <row r="13" customFormat="false" ht="15" hidden="false" customHeight="false" outlineLevel="0" collapsed="false">
      <c r="A13" s="23" t="s">
        <v>17</v>
      </c>
      <c r="B13" s="43" t="n">
        <v>0.21</v>
      </c>
      <c r="C13" s="28" t="s">
        <v>192</v>
      </c>
    </row>
    <row r="16" customFormat="false" ht="15" hidden="false" customHeight="false" outlineLevel="0" collapsed="false">
      <c r="A16" s="41" t="s">
        <v>193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customFormat="false" ht="15" hidden="false" customHeight="false" outlineLevel="0" collapsed="false">
      <c r="A17" s="12"/>
      <c r="B17" s="12" t="s">
        <v>194</v>
      </c>
      <c r="C17" s="12" t="s">
        <v>88</v>
      </c>
      <c r="D17" s="12" t="s">
        <v>89</v>
      </c>
      <c r="E17" s="12" t="s">
        <v>90</v>
      </c>
      <c r="F17" s="12" t="s">
        <v>91</v>
      </c>
      <c r="G17" s="12" t="s">
        <v>92</v>
      </c>
      <c r="H17" s="12" t="s">
        <v>195</v>
      </c>
      <c r="I17" s="12" t="s">
        <v>196</v>
      </c>
      <c r="J17" s="12" t="s">
        <v>197</v>
      </c>
      <c r="K17" s="12" t="s">
        <v>198</v>
      </c>
      <c r="L17" s="12" t="s">
        <v>199</v>
      </c>
    </row>
    <row r="18" customFormat="false" ht="15" hidden="false" customHeight="false" outlineLevel="0" collapsed="false">
      <c r="A18" s="23" t="s">
        <v>200</v>
      </c>
      <c r="B18" s="24" t="n">
        <v>38000</v>
      </c>
      <c r="C18" s="29" t="n">
        <v>44500</v>
      </c>
      <c r="D18" s="29" t="n">
        <v>51200</v>
      </c>
      <c r="E18" s="29" t="n">
        <v>56000</v>
      </c>
      <c r="F18" s="29" t="n">
        <v>61600</v>
      </c>
      <c r="G18" s="29" t="n">
        <v>67100</v>
      </c>
      <c r="H18" s="29" t="n">
        <v>72500</v>
      </c>
      <c r="I18" s="29" t="n">
        <v>77900</v>
      </c>
      <c r="J18" s="29" t="n">
        <v>83200</v>
      </c>
      <c r="K18" s="29" t="n">
        <v>88200</v>
      </c>
    </row>
    <row r="19" customFormat="false" ht="15" hidden="false" customHeight="false" outlineLevel="0" collapsed="false">
      <c r="A19" s="23" t="s">
        <v>201</v>
      </c>
      <c r="C19" s="44" t="n">
        <f aca="false">(C18-B18)/B18</f>
        <v>0.171052631578947</v>
      </c>
      <c r="D19" s="44" t="n">
        <f aca="false">(D18-C18)/C18</f>
        <v>0.150561797752809</v>
      </c>
      <c r="E19" s="44" t="n">
        <f aca="false">(E18-D18)/D18</f>
        <v>0.09375</v>
      </c>
      <c r="F19" s="44" t="n">
        <f aca="false">(F18-E18)/E18</f>
        <v>0.1</v>
      </c>
      <c r="G19" s="44" t="n">
        <f aca="false">(G18-F18)/F18</f>
        <v>0.0892857142857143</v>
      </c>
      <c r="H19" s="44" t="n">
        <f aca="false">(H18-G18)/G18</f>
        <v>0.0804769001490313</v>
      </c>
      <c r="I19" s="44" t="n">
        <f aca="false">(I18-H18)/H18</f>
        <v>0.0744827586206897</v>
      </c>
      <c r="J19" s="44" t="n">
        <f aca="false">(J18-I18)/I18</f>
        <v>0.0680359435173299</v>
      </c>
      <c r="K19" s="44" t="n">
        <f aca="false">(K18-J18)/J18</f>
        <v>0.0600961538461539</v>
      </c>
    </row>
    <row r="20" customFormat="false" ht="15" hidden="false" customHeight="false" outlineLevel="0" collapsed="false">
      <c r="A20" s="23" t="s">
        <v>202</v>
      </c>
      <c r="B20" s="45" t="n">
        <v>0.108</v>
      </c>
      <c r="C20" s="45" t="n">
        <v>0.13</v>
      </c>
      <c r="D20" s="45" t="n">
        <v>0.155</v>
      </c>
      <c r="E20" s="45" t="n">
        <v>0.185</v>
      </c>
      <c r="F20" s="45" t="n">
        <v>0.195</v>
      </c>
      <c r="G20" s="45" t="n">
        <v>0.2</v>
      </c>
      <c r="H20" s="45" t="n">
        <v>0.205</v>
      </c>
      <c r="I20" s="45" t="n">
        <v>0.208</v>
      </c>
      <c r="J20" s="45" t="n">
        <v>0.21</v>
      </c>
      <c r="K20" s="45" t="n">
        <v>0.21</v>
      </c>
    </row>
    <row r="21" customFormat="false" ht="15" hidden="false" customHeight="false" outlineLevel="0" collapsed="false">
      <c r="A21" s="23" t="s">
        <v>203</v>
      </c>
      <c r="B21" s="27" t="n">
        <f aca="false">B18*B20</f>
        <v>4104</v>
      </c>
      <c r="C21" s="27" t="n">
        <f aca="false">C18*C20</f>
        <v>5785</v>
      </c>
      <c r="D21" s="27" t="n">
        <f aca="false">D18*D20</f>
        <v>7936</v>
      </c>
      <c r="E21" s="27" t="n">
        <f aca="false">E18*E20</f>
        <v>10360</v>
      </c>
      <c r="F21" s="27" t="n">
        <f aca="false">F18*F20</f>
        <v>12012</v>
      </c>
      <c r="G21" s="27" t="n">
        <f aca="false">G18*G20</f>
        <v>13420</v>
      </c>
      <c r="H21" s="27" t="n">
        <f aca="false">H18*H20</f>
        <v>14862.5</v>
      </c>
      <c r="I21" s="27" t="n">
        <f aca="false">I18*I20</f>
        <v>16203.2</v>
      </c>
      <c r="J21" s="27" t="n">
        <f aca="false">J18*J20</f>
        <v>17472</v>
      </c>
      <c r="K21" s="27" t="n">
        <f aca="false">K18*K20</f>
        <v>18522</v>
      </c>
    </row>
    <row r="22" customFormat="false" ht="15" hidden="false" customHeight="false" outlineLevel="0" collapsed="false">
      <c r="A22" s="23" t="s">
        <v>204</v>
      </c>
      <c r="B22" s="43" t="n">
        <v>0.025</v>
      </c>
      <c r="C22" s="43" t="n">
        <v>0.025</v>
      </c>
      <c r="D22" s="43" t="n">
        <v>0.025</v>
      </c>
      <c r="E22" s="43" t="n">
        <v>0.025</v>
      </c>
      <c r="F22" s="43" t="n">
        <v>0.025</v>
      </c>
      <c r="G22" s="43" t="n">
        <v>0.025</v>
      </c>
      <c r="H22" s="43" t="n">
        <v>0.025</v>
      </c>
      <c r="I22" s="43" t="n">
        <v>0.025</v>
      </c>
      <c r="J22" s="43" t="n">
        <v>0.025</v>
      </c>
      <c r="K22" s="43" t="n">
        <v>0.025</v>
      </c>
    </row>
    <row r="23" customFormat="false" ht="15" hidden="false" customHeight="false" outlineLevel="0" collapsed="false">
      <c r="A23" s="23" t="s">
        <v>205</v>
      </c>
      <c r="B23" s="27" t="n">
        <f aca="false">B21-B18*B22</f>
        <v>3154</v>
      </c>
      <c r="C23" s="27" t="n">
        <f aca="false">C21-C18*C22</f>
        <v>4672.5</v>
      </c>
      <c r="D23" s="27" t="n">
        <f aca="false">D21-D18*D22</f>
        <v>6656</v>
      </c>
      <c r="E23" s="27" t="n">
        <f aca="false">E21-E18*E22</f>
        <v>8960</v>
      </c>
      <c r="F23" s="27" t="n">
        <f aca="false">F21-F18*F22</f>
        <v>10472</v>
      </c>
      <c r="G23" s="27" t="n">
        <f aca="false">G21-G18*G22</f>
        <v>11742.5</v>
      </c>
      <c r="H23" s="27" t="n">
        <f aca="false">H21-H18*H22</f>
        <v>13050</v>
      </c>
      <c r="I23" s="27" t="n">
        <f aca="false">I21-I18*I22</f>
        <v>14255.7</v>
      </c>
      <c r="J23" s="27" t="n">
        <f aca="false">J21-J18*J22</f>
        <v>15392</v>
      </c>
      <c r="K23" s="27" t="n">
        <f aca="false">K21-K18*K22</f>
        <v>16317</v>
      </c>
    </row>
    <row r="24" customFormat="false" ht="15" hidden="false" customHeight="false" outlineLevel="0" collapsed="false">
      <c r="A24" s="23" t="s">
        <v>206</v>
      </c>
      <c r="B24" s="27" t="n">
        <f aca="false">B23*$B$13</f>
        <v>662.34</v>
      </c>
      <c r="C24" s="27" t="n">
        <f aca="false">C23*$B$13</f>
        <v>981.225</v>
      </c>
      <c r="D24" s="27" t="n">
        <f aca="false">D23*$B$13</f>
        <v>1397.76</v>
      </c>
      <c r="E24" s="27" t="n">
        <f aca="false">E23*$B$13</f>
        <v>1881.6</v>
      </c>
      <c r="F24" s="27" t="n">
        <f aca="false">F23*$B$13</f>
        <v>2199.12</v>
      </c>
      <c r="G24" s="27" t="n">
        <f aca="false">G23*$B$13</f>
        <v>2465.925</v>
      </c>
      <c r="H24" s="27" t="n">
        <f aca="false">H23*$B$13</f>
        <v>2740.5</v>
      </c>
      <c r="I24" s="27" t="n">
        <f aca="false">I23*$B$13</f>
        <v>2993.697</v>
      </c>
      <c r="J24" s="27" t="n">
        <f aca="false">J23*$B$13</f>
        <v>3232.32</v>
      </c>
      <c r="K24" s="27" t="n">
        <f aca="false">K23*$B$13</f>
        <v>3426.57</v>
      </c>
    </row>
    <row r="25" customFormat="false" ht="15" hidden="false" customHeight="false" outlineLevel="0" collapsed="false">
      <c r="A25" s="23" t="s">
        <v>207</v>
      </c>
      <c r="B25" s="27" t="n">
        <f aca="false">B23-B24</f>
        <v>2491.66</v>
      </c>
      <c r="C25" s="27" t="n">
        <f aca="false">C23-C24</f>
        <v>3691.275</v>
      </c>
      <c r="D25" s="27" t="n">
        <f aca="false">D23-D24</f>
        <v>5258.24</v>
      </c>
      <c r="E25" s="27" t="n">
        <f aca="false">E23-E24</f>
        <v>7078.4</v>
      </c>
      <c r="F25" s="27" t="n">
        <f aca="false">F23-F24</f>
        <v>8272.88</v>
      </c>
      <c r="G25" s="27" t="n">
        <f aca="false">G23-G24</f>
        <v>9276.575</v>
      </c>
      <c r="H25" s="27" t="n">
        <f aca="false">H23-H24</f>
        <v>10309.5</v>
      </c>
      <c r="I25" s="27" t="n">
        <f aca="false">I23-I24</f>
        <v>11262.003</v>
      </c>
      <c r="J25" s="27" t="n">
        <f aca="false">J23-J24</f>
        <v>12159.68</v>
      </c>
      <c r="K25" s="27" t="n">
        <f aca="false">K23-K24</f>
        <v>12890.43</v>
      </c>
    </row>
    <row r="26" customFormat="false" ht="15" hidden="false" customHeight="false" outlineLevel="0" collapsed="false">
      <c r="A26" s="23" t="s">
        <v>208</v>
      </c>
      <c r="B26" s="43" t="n">
        <v>0.035</v>
      </c>
      <c r="C26" s="43" t="n">
        <v>0.035</v>
      </c>
      <c r="D26" s="43" t="n">
        <v>0.035</v>
      </c>
      <c r="E26" s="43" t="n">
        <v>0.035</v>
      </c>
      <c r="F26" s="43" t="n">
        <v>0.035</v>
      </c>
      <c r="G26" s="43" t="n">
        <v>0.035</v>
      </c>
      <c r="H26" s="43" t="n">
        <v>0.035</v>
      </c>
      <c r="I26" s="43" t="n">
        <v>0.035</v>
      </c>
      <c r="J26" s="43" t="n">
        <v>0.035</v>
      </c>
      <c r="K26" s="43" t="n">
        <v>0.035</v>
      </c>
    </row>
    <row r="27" customFormat="false" ht="15" hidden="false" customHeight="false" outlineLevel="0" collapsed="false">
      <c r="A27" s="23" t="s">
        <v>209</v>
      </c>
      <c r="C27" s="43" t="n">
        <v>0.05</v>
      </c>
      <c r="D27" s="43" t="n">
        <v>0.05</v>
      </c>
      <c r="E27" s="43" t="n">
        <v>0.05</v>
      </c>
      <c r="F27" s="43" t="n">
        <v>0.05</v>
      </c>
      <c r="G27" s="43" t="n">
        <v>0.05</v>
      </c>
      <c r="H27" s="43" t="n">
        <v>0.05</v>
      </c>
      <c r="I27" s="43" t="n">
        <v>0.05</v>
      </c>
      <c r="J27" s="43" t="n">
        <v>0.05</v>
      </c>
      <c r="K27" s="43" t="n">
        <v>0.05</v>
      </c>
    </row>
    <row r="28" customFormat="false" ht="15" hidden="false" customHeight="false" outlineLevel="0" collapsed="false">
      <c r="A28" s="15" t="s">
        <v>210</v>
      </c>
      <c r="C28" s="16" t="n">
        <f aca="false">C25+C18*C22-C18*C26-(C18-B18)*C27</f>
        <v>2921.275</v>
      </c>
      <c r="D28" s="16" t="n">
        <f aca="false">D25+D18*D22-D18*D26-(D18-C18)*D27</f>
        <v>4411.24</v>
      </c>
      <c r="E28" s="16" t="n">
        <f aca="false">E25+E18*E22-E18*E26-(E18-D18)*E27</f>
        <v>6278.4</v>
      </c>
      <c r="F28" s="16" t="n">
        <f aca="false">F25+F18*F22-F18*F26-(F18-E18)*F27</f>
        <v>7376.88</v>
      </c>
      <c r="G28" s="16" t="n">
        <f aca="false">G25+G18*G22-G18*G26-(G18-F18)*G27</f>
        <v>8330.575</v>
      </c>
      <c r="H28" s="16" t="n">
        <f aca="false">H25+H18*H22-H18*H26-(H18-G18)*H27</f>
        <v>9314.5</v>
      </c>
      <c r="I28" s="16" t="n">
        <f aca="false">I25+I18*I22-I18*I26-(I18-H18)*I27</f>
        <v>10213.003</v>
      </c>
      <c r="J28" s="16" t="n">
        <f aca="false">J25+J18*J22-J18*J26-(J18-I18)*J27</f>
        <v>11062.68</v>
      </c>
      <c r="K28" s="16" t="n">
        <f aca="false">K25+K18*K22-K18*K26-(K18-J18)*K27</f>
        <v>11758.43</v>
      </c>
    </row>
    <row r="30" customFormat="false" ht="15" hidden="false" customHeight="false" outlineLevel="0" collapsed="false">
      <c r="A30" s="38" t="s">
        <v>211</v>
      </c>
    </row>
    <row r="31" customFormat="false" ht="15" hidden="false" customHeight="false" outlineLevel="0" collapsed="false">
      <c r="A31" s="23" t="s">
        <v>212</v>
      </c>
      <c r="B31" s="27" t="n">
        <f aca="false">K28</f>
        <v>11758.43</v>
      </c>
    </row>
    <row r="32" customFormat="false" ht="15" hidden="false" customHeight="false" outlineLevel="0" collapsed="false">
      <c r="A32" s="23" t="s">
        <v>213</v>
      </c>
      <c r="B32" s="27" t="n">
        <f aca="false">B31*(1+$B$12)/($B$11-$B$12)</f>
        <v>186325.890769231</v>
      </c>
    </row>
    <row r="34" customFormat="false" ht="15" hidden="false" customHeight="false" outlineLevel="0" collapsed="false">
      <c r="A34" s="23" t="s">
        <v>214</v>
      </c>
      <c r="B34" s="27" t="n">
        <f aca="false">B32/(1+$B$11)^10</f>
        <v>75185.1402822487</v>
      </c>
    </row>
    <row r="35" customFormat="false" ht="15" hidden="false" customHeight="false" outlineLevel="0" collapsed="false">
      <c r="A35" s="23" t="s">
        <v>215</v>
      </c>
      <c r="B35" s="27" t="n">
        <f aca="false">C28/(1+$B$11)^1+D28/(1+$B$11)^2+E28/(1+$B$11)^3+F28/(1+$B$11)^4+G28/(1+$B$11)^5+H28/(1+$B$11)^6+I28/(1+$B$11)^7+J28/(1+$B$11)^8+K28/(1+$B$11)^9</f>
        <v>42913.8363067074</v>
      </c>
    </row>
    <row r="36" customFormat="false" ht="15" hidden="false" customHeight="false" outlineLevel="0" collapsed="false">
      <c r="A36" s="15" t="s">
        <v>216</v>
      </c>
      <c r="B36" s="46" t="n">
        <f aca="false">B34+B35</f>
        <v>118098.976588956</v>
      </c>
    </row>
    <row r="37" customFormat="false" ht="15" hidden="false" customHeight="false" outlineLevel="0" collapsed="false">
      <c r="A37" s="23" t="s">
        <v>159</v>
      </c>
      <c r="B37" s="27" t="n">
        <f aca="false">-B8</f>
        <v>-2000</v>
      </c>
    </row>
    <row r="38" customFormat="false" ht="15" hidden="false" customHeight="false" outlineLevel="0" collapsed="false">
      <c r="A38" s="15" t="s">
        <v>217</v>
      </c>
      <c r="B38" s="27" t="n">
        <f aca="false">B36+B37</f>
        <v>116098.976588956</v>
      </c>
    </row>
    <row r="39" customFormat="false" ht="15" hidden="false" customHeight="false" outlineLevel="0" collapsed="false">
      <c r="A39" s="15" t="s">
        <v>218</v>
      </c>
      <c r="B39" s="47" t="n">
        <f aca="false">B38/B6</f>
        <v>422.178096687113</v>
      </c>
    </row>
    <row r="40" customFormat="false" ht="15" hidden="false" customHeight="false" outlineLevel="0" collapsed="false">
      <c r="A40" s="15" t="s">
        <v>219</v>
      </c>
      <c r="B40" s="48" t="n">
        <f aca="false">B39/B5-1</f>
        <v>-0.492574403020297</v>
      </c>
    </row>
    <row r="43" customFormat="false" ht="15" hidden="false" customHeight="false" outlineLevel="0" collapsed="false">
      <c r="A43" s="41" t="s">
        <v>220</v>
      </c>
      <c r="B43" s="42"/>
      <c r="C43" s="42"/>
      <c r="D43" s="42"/>
      <c r="E43" s="42"/>
      <c r="F43" s="42"/>
    </row>
    <row r="44" customFormat="false" ht="15" hidden="false" customHeight="false" outlineLevel="0" collapsed="false">
      <c r="A44" s="23" t="s">
        <v>221</v>
      </c>
    </row>
    <row r="45" customFormat="false" ht="15" hidden="false" customHeight="false" outlineLevel="0" collapsed="false">
      <c r="A45" s="15" t="s">
        <v>222</v>
      </c>
    </row>
    <row r="46" customFormat="false" ht="15" hidden="false" customHeight="false" outlineLevel="0" collapsed="false">
      <c r="A46" s="15" t="s">
        <v>223</v>
      </c>
    </row>
    <row r="47" customFormat="false" ht="15" hidden="false" customHeight="false" outlineLevel="0" collapsed="false">
      <c r="A47" s="15" t="s">
        <v>224</v>
      </c>
    </row>
    <row r="48" customFormat="false" ht="15" hidden="false" customHeight="false" outlineLevel="0" collapsed="false">
      <c r="A48" s="15" t="s">
        <v>225</v>
      </c>
    </row>
    <row r="49" customFormat="false" ht="15" hidden="false" customHeight="false" outlineLevel="0" collapsed="false">
      <c r="A49" s="15" t="s">
        <v>226</v>
      </c>
    </row>
    <row r="50" customFormat="false" ht="15" hidden="false" customHeight="false" outlineLevel="0" collapsed="false">
      <c r="A50" s="23"/>
    </row>
    <row r="51" customFormat="false" ht="15" hidden="false" customHeight="false" outlineLevel="0" collapsed="false">
      <c r="A51" s="23" t="s">
        <v>227</v>
      </c>
    </row>
    <row r="52" customFormat="false" ht="15" hidden="false" customHeight="false" outlineLevel="0" collapsed="false">
      <c r="A52" s="23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229</v>
      </c>
    </row>
    <row r="3" customFormat="false" ht="15" hidden="false" customHeight="false" outlineLevel="0" collapsed="false">
      <c r="A3" s="12" t="s">
        <v>230</v>
      </c>
      <c r="B3" s="12" t="s">
        <v>231</v>
      </c>
      <c r="C3" s="12" t="s">
        <v>33</v>
      </c>
      <c r="D3" s="12" t="s">
        <v>232</v>
      </c>
      <c r="E3" s="12" t="s">
        <v>233</v>
      </c>
      <c r="F3" s="12" t="s">
        <v>234</v>
      </c>
      <c r="G3" s="12" t="s">
        <v>235</v>
      </c>
      <c r="H3" s="12" t="s">
        <v>236</v>
      </c>
      <c r="I3" s="12" t="s">
        <v>237</v>
      </c>
      <c r="J3" s="12" t="s">
        <v>238</v>
      </c>
      <c r="K3" s="12" t="s">
        <v>239</v>
      </c>
      <c r="L3" s="12" t="s">
        <v>240</v>
      </c>
      <c r="M3" s="12" t="s">
        <v>241</v>
      </c>
    </row>
    <row r="4" customFormat="false" ht="15" hidden="false" customHeight="false" outlineLevel="0" collapsed="false">
      <c r="A4" s="49" t="s">
        <v>242</v>
      </c>
      <c r="B4" s="49" t="s">
        <v>243</v>
      </c>
      <c r="C4" s="49" t="s">
        <v>244</v>
      </c>
      <c r="D4" s="50" t="n">
        <v>18</v>
      </c>
      <c r="E4" s="51" t="n">
        <v>33</v>
      </c>
      <c r="F4" s="51" t="n">
        <v>28</v>
      </c>
      <c r="G4" s="51" t="n">
        <v>15</v>
      </c>
      <c r="H4" s="52" t="n">
        <v>0.12</v>
      </c>
      <c r="I4" s="52" t="n">
        <v>0.09</v>
      </c>
      <c r="J4" s="53" t="n">
        <v>0.08</v>
      </c>
      <c r="K4" s="49" t="s">
        <v>245</v>
      </c>
      <c r="L4" s="49" t="s">
        <v>246</v>
      </c>
      <c r="M4" s="49" t="s">
        <v>247</v>
      </c>
    </row>
    <row r="5" customFormat="false" ht="15" hidden="false" customHeight="false" outlineLevel="0" collapsed="false">
      <c r="A5" s="54" t="s">
        <v>248</v>
      </c>
      <c r="B5" s="54" t="s">
        <v>249</v>
      </c>
      <c r="C5" s="54" t="s">
        <v>250</v>
      </c>
      <c r="D5" s="55" t="n">
        <v>230</v>
      </c>
      <c r="E5" s="56" t="n">
        <v>45</v>
      </c>
      <c r="F5" s="56" t="n">
        <v>35</v>
      </c>
      <c r="G5" s="56" t="n">
        <v>33</v>
      </c>
      <c r="H5" s="57" t="n">
        <v>0.09</v>
      </c>
      <c r="I5" s="57" t="n">
        <v>0.13</v>
      </c>
      <c r="J5" s="58" t="n">
        <v>0.9</v>
      </c>
      <c r="K5" s="54" t="s">
        <v>251</v>
      </c>
      <c r="L5" s="54" t="s">
        <v>245</v>
      </c>
      <c r="M5" s="54" t="s">
        <v>252</v>
      </c>
    </row>
    <row r="6" customFormat="false" ht="15" hidden="false" customHeight="false" outlineLevel="0" collapsed="false">
      <c r="A6" s="6" t="s">
        <v>253</v>
      </c>
      <c r="B6" s="6" t="s">
        <v>254</v>
      </c>
      <c r="C6" s="6" t="s">
        <v>255</v>
      </c>
      <c r="D6" s="14" t="n">
        <v>140</v>
      </c>
      <c r="E6" s="59" t="n">
        <v>90</v>
      </c>
      <c r="F6" s="59" t="n">
        <v>30</v>
      </c>
      <c r="G6" s="59" t="n">
        <v>25</v>
      </c>
      <c r="H6" s="34" t="n">
        <v>0.13</v>
      </c>
      <c r="I6" s="34" t="n">
        <v>0.08</v>
      </c>
      <c r="J6" s="60" t="n">
        <v>0.85</v>
      </c>
      <c r="K6" s="6" t="s">
        <v>245</v>
      </c>
      <c r="L6" s="6" t="s">
        <v>245</v>
      </c>
      <c r="M6" s="6" t="s">
        <v>256</v>
      </c>
    </row>
    <row r="7" customFormat="false" ht="15" hidden="false" customHeight="false" outlineLevel="0" collapsed="false">
      <c r="A7" s="6" t="s">
        <v>257</v>
      </c>
      <c r="B7" s="6" t="s">
        <v>258</v>
      </c>
      <c r="C7" s="6" t="s">
        <v>244</v>
      </c>
      <c r="D7" s="14" t="n">
        <v>20</v>
      </c>
      <c r="E7" s="59" t="n">
        <v>57</v>
      </c>
      <c r="F7" s="59" t="n">
        <v>40</v>
      </c>
      <c r="G7" s="59" t="n">
        <v>35</v>
      </c>
      <c r="H7" s="34" t="n">
        <v>0.24</v>
      </c>
      <c r="I7" s="34" t="n">
        <v>0.17</v>
      </c>
      <c r="J7" s="60" t="n">
        <v>0.12</v>
      </c>
      <c r="K7" s="6" t="s">
        <v>259</v>
      </c>
      <c r="L7" s="6" t="s">
        <v>251</v>
      </c>
      <c r="M7" s="6" t="s">
        <v>260</v>
      </c>
    </row>
    <row r="8" customFormat="false" ht="15" hidden="false" customHeight="false" outlineLevel="0" collapsed="false">
      <c r="A8" s="6" t="s">
        <v>261</v>
      </c>
      <c r="B8" s="6" t="s">
        <v>262</v>
      </c>
      <c r="C8" s="6" t="s">
        <v>244</v>
      </c>
      <c r="D8" s="14" t="n">
        <v>12</v>
      </c>
      <c r="E8" s="59" t="n">
        <v>18</v>
      </c>
      <c r="F8" s="59" t="n">
        <v>15</v>
      </c>
      <c r="G8" s="59" t="n">
        <v>10</v>
      </c>
      <c r="H8" s="34" t="n">
        <v>0.05</v>
      </c>
      <c r="I8" s="34" t="n">
        <v>0.06</v>
      </c>
      <c r="J8" s="60" t="n">
        <v>0.1</v>
      </c>
      <c r="K8" s="6" t="s">
        <v>263</v>
      </c>
      <c r="L8" s="6" t="s">
        <v>264</v>
      </c>
      <c r="M8" s="6" t="s">
        <v>265</v>
      </c>
    </row>
    <row r="9" customFormat="false" ht="15" hidden="false" customHeight="false" outlineLevel="0" collapsed="false">
      <c r="A9" s="6" t="s">
        <v>266</v>
      </c>
      <c r="B9" s="6" t="s">
        <v>267</v>
      </c>
      <c r="C9" s="6" t="s">
        <v>268</v>
      </c>
      <c r="D9" s="14" t="n">
        <v>55</v>
      </c>
      <c r="E9" s="59" t="n">
        <v>25</v>
      </c>
      <c r="F9" s="59" t="n">
        <v>20</v>
      </c>
      <c r="G9" s="59" t="n">
        <v>15</v>
      </c>
      <c r="H9" s="34" t="n">
        <v>0.08</v>
      </c>
      <c r="I9" s="34" t="n">
        <v>0.1</v>
      </c>
      <c r="J9" s="60" t="n">
        <v>0.7</v>
      </c>
      <c r="K9" s="6" t="s">
        <v>245</v>
      </c>
      <c r="L9" s="6" t="s">
        <v>246</v>
      </c>
      <c r="M9" s="6" t="s">
        <v>265</v>
      </c>
    </row>
    <row r="10" customFormat="false" ht="15" hidden="false" customHeight="false" outlineLevel="0" collapsed="false">
      <c r="A10" s="6" t="s">
        <v>269</v>
      </c>
      <c r="B10" s="6" t="s">
        <v>270</v>
      </c>
      <c r="C10" s="6" t="s">
        <v>244</v>
      </c>
      <c r="D10" s="14" t="n">
        <v>3</v>
      </c>
      <c r="E10" s="59" t="n">
        <v>10</v>
      </c>
      <c r="F10" s="59" t="n">
        <v>8</v>
      </c>
      <c r="G10" s="59" t="n">
        <v>6</v>
      </c>
      <c r="H10" s="34" t="n">
        <v>0.05</v>
      </c>
      <c r="I10" s="34" t="n">
        <v>0.05</v>
      </c>
      <c r="J10" s="60" t="n">
        <v>0.05</v>
      </c>
      <c r="K10" s="6" t="s">
        <v>246</v>
      </c>
      <c r="L10" s="6" t="s">
        <v>246</v>
      </c>
      <c r="M10" s="6" t="s">
        <v>271</v>
      </c>
    </row>
    <row r="11" customFormat="false" ht="15" hidden="false" customHeight="false" outlineLevel="0" collapsed="false">
      <c r="A11" s="6" t="s">
        <v>272</v>
      </c>
      <c r="B11" s="6" t="s">
        <v>273</v>
      </c>
      <c r="C11" s="6" t="s">
        <v>274</v>
      </c>
      <c r="D11" s="14" t="n">
        <v>8</v>
      </c>
      <c r="E11" s="59" t="n">
        <v>15</v>
      </c>
      <c r="F11" s="59" t="n">
        <v>12</v>
      </c>
      <c r="G11" s="59" t="n">
        <v>8</v>
      </c>
      <c r="H11" s="34" t="n">
        <v>0.1</v>
      </c>
      <c r="I11" s="34" t="n">
        <v>0.07</v>
      </c>
      <c r="J11" s="60" t="n">
        <v>0.6</v>
      </c>
      <c r="K11" s="6" t="s">
        <v>264</v>
      </c>
      <c r="L11" s="6" t="s">
        <v>264</v>
      </c>
      <c r="M11" s="6" t="s">
        <v>265</v>
      </c>
    </row>
    <row r="12" customFormat="false" ht="15" hidden="false" customHeight="false" outlineLevel="0" collapsed="false">
      <c r="A12" s="15" t="s">
        <v>275</v>
      </c>
      <c r="E12" s="61" t="n">
        <f aca="false">AVERAGE(E7:E11)</f>
        <v>25</v>
      </c>
      <c r="F12" s="61" t="n">
        <f aca="false">AVERAGE(F7:F11)</f>
        <v>19</v>
      </c>
      <c r="G12" s="61" t="n">
        <f aca="false">AVERAGE(G7:G11)</f>
        <v>14.8</v>
      </c>
    </row>
    <row r="14" customFormat="false" ht="15" hidden="false" customHeight="false" outlineLevel="0" collapsed="false">
      <c r="A14" s="38" t="s">
        <v>276</v>
      </c>
    </row>
    <row r="15" customFormat="false" ht="15" hidden="false" customHeight="false" outlineLevel="0" collapsed="false">
      <c r="A15" s="23" t="s">
        <v>277</v>
      </c>
    </row>
    <row r="16" customFormat="false" ht="15" hidden="false" customHeight="false" outlineLevel="0" collapsed="false">
      <c r="A16" s="23" t="s">
        <v>278</v>
      </c>
    </row>
    <row r="17" customFormat="false" ht="15" hidden="false" customHeight="false" outlineLevel="0" collapsed="false">
      <c r="A17" s="23" t="s">
        <v>279</v>
      </c>
    </row>
    <row r="18" customFormat="false" ht="15" hidden="false" customHeight="false" outlineLevel="0" collapsed="false">
      <c r="A18" s="23" t="s">
        <v>280</v>
      </c>
    </row>
    <row r="19" customFormat="false" ht="15" hidden="false" customHeight="false" outlineLevel="0" collapsed="false">
      <c r="A19" s="23" t="s">
        <v>281</v>
      </c>
    </row>
    <row r="20" customFormat="false" ht="15" hidden="false" customHeight="false" outlineLevel="0" collapsed="false">
      <c r="A20" s="23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8"/>
  </cols>
  <sheetData>
    <row r="1" customFormat="false" ht="17.3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4" customFormat="false" ht="15" hidden="false" customHeight="false" outlineLevel="0" collapsed="false">
      <c r="A4" s="3" t="s">
        <v>285</v>
      </c>
      <c r="B4" s="4"/>
      <c r="C4" s="4"/>
      <c r="D4" s="4"/>
      <c r="E4" s="4"/>
    </row>
    <row r="5" customFormat="false" ht="15" hidden="false" customHeight="false" outlineLevel="0" collapsed="false">
      <c r="A5" s="23" t="s">
        <v>286</v>
      </c>
      <c r="B5" s="62" t="n">
        <v>42.74</v>
      </c>
      <c r="C5" s="28" t="s">
        <v>119</v>
      </c>
    </row>
    <row r="6" customFormat="false" ht="15" hidden="false" customHeight="false" outlineLevel="0" collapsed="false">
      <c r="A6" s="23" t="s">
        <v>287</v>
      </c>
      <c r="B6" s="29" t="n">
        <v>832</v>
      </c>
      <c r="C6" s="28" t="s">
        <v>288</v>
      </c>
    </row>
    <row r="7" customFormat="false" ht="15" hidden="false" customHeight="false" outlineLevel="0" collapsed="false">
      <c r="A7" s="23" t="s">
        <v>289</v>
      </c>
      <c r="B7" s="29" t="n">
        <v>1000000</v>
      </c>
      <c r="C7" s="28" t="s">
        <v>288</v>
      </c>
    </row>
    <row r="8" customFormat="false" ht="15" hidden="false" customHeight="false" outlineLevel="0" collapsed="false">
      <c r="A8" s="23" t="s">
        <v>290</v>
      </c>
      <c r="B8" s="24" t="n">
        <f aca="false">B7*B10/B5</f>
        <v>182498.830135704</v>
      </c>
      <c r="C8" s="28" t="s">
        <v>291</v>
      </c>
    </row>
    <row r="9" customFormat="false" ht="15" hidden="false" customHeight="false" outlineLevel="0" collapsed="false">
      <c r="A9" s="23" t="s">
        <v>292</v>
      </c>
      <c r="B9" s="24" t="n">
        <f aca="false">B7/B6</f>
        <v>1201.92307692308</v>
      </c>
      <c r="C9" s="28" t="s">
        <v>291</v>
      </c>
    </row>
    <row r="10" customFormat="false" ht="15" hidden="false" customHeight="false" outlineLevel="0" collapsed="false">
      <c r="A10" s="23" t="s">
        <v>293</v>
      </c>
      <c r="B10" s="62" t="n">
        <v>7.8</v>
      </c>
      <c r="C10" s="28"/>
    </row>
    <row r="12" customFormat="false" ht="15" hidden="false" customHeight="false" outlineLevel="0" collapsed="false">
      <c r="A12" s="3" t="s">
        <v>294</v>
      </c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12" t="s">
        <v>295</v>
      </c>
      <c r="B13" s="12" t="s">
        <v>296</v>
      </c>
      <c r="C13" s="12" t="s">
        <v>297</v>
      </c>
      <c r="D13" s="12" t="s">
        <v>298</v>
      </c>
      <c r="E13" s="12" t="s">
        <v>299</v>
      </c>
      <c r="F13" s="12" t="s">
        <v>57</v>
      </c>
      <c r="G13" s="12" t="s">
        <v>300</v>
      </c>
    </row>
    <row r="14" customFormat="false" ht="15" hidden="false" customHeight="false" outlineLevel="0" collapsed="false">
      <c r="A14" s="6" t="s">
        <v>301</v>
      </c>
      <c r="B14" s="9" t="n">
        <v>0.7</v>
      </c>
      <c r="C14" s="9" t="n">
        <v>-0.15</v>
      </c>
      <c r="D14" s="34" t="n">
        <f aca="false">B14-C14</f>
        <v>0.85</v>
      </c>
      <c r="E14" s="63" t="n">
        <f aca="false">D14*$B$7</f>
        <v>850000</v>
      </c>
      <c r="F14" s="19" t="n">
        <v>0.2</v>
      </c>
      <c r="G14" s="63" t="n">
        <f aca="false">E14*F14</f>
        <v>170000</v>
      </c>
    </row>
    <row r="15" customFormat="false" ht="15" hidden="false" customHeight="false" outlineLevel="0" collapsed="false">
      <c r="A15" s="6" t="s">
        <v>302</v>
      </c>
      <c r="B15" s="9" t="n">
        <v>0.4</v>
      </c>
      <c r="C15" s="9" t="n">
        <v>0</v>
      </c>
      <c r="D15" s="34" t="n">
        <f aca="false">B15-C15</f>
        <v>0.4</v>
      </c>
      <c r="E15" s="63" t="n">
        <f aca="false">D15*$B$7</f>
        <v>400000</v>
      </c>
      <c r="F15" s="19" t="n">
        <v>0.45</v>
      </c>
      <c r="G15" s="63" t="n">
        <f aca="false">E15*F15</f>
        <v>180000</v>
      </c>
    </row>
    <row r="16" customFormat="false" ht="15" hidden="false" customHeight="false" outlineLevel="0" collapsed="false">
      <c r="A16" s="6" t="s">
        <v>303</v>
      </c>
      <c r="B16" s="9" t="n">
        <v>0.15</v>
      </c>
      <c r="C16" s="9" t="n">
        <v>0.1</v>
      </c>
      <c r="D16" s="34" t="n">
        <f aca="false">B16-C16</f>
        <v>0.05</v>
      </c>
      <c r="E16" s="63" t="n">
        <f aca="false">D16*$B$7</f>
        <v>50000</v>
      </c>
      <c r="F16" s="19" t="n">
        <v>0.25</v>
      </c>
      <c r="G16" s="63" t="n">
        <f aca="false">E16*F16</f>
        <v>12500</v>
      </c>
    </row>
    <row r="17" customFormat="false" ht="15" hidden="false" customHeight="false" outlineLevel="0" collapsed="false">
      <c r="A17" s="6" t="s">
        <v>304</v>
      </c>
      <c r="B17" s="9" t="n">
        <v>-0.1</v>
      </c>
      <c r="C17" s="9" t="n">
        <v>0.2</v>
      </c>
      <c r="D17" s="34" t="n">
        <f aca="false">B17-C17</f>
        <v>-0.3</v>
      </c>
      <c r="E17" s="63" t="n">
        <f aca="false">D17*$B$7</f>
        <v>-300000</v>
      </c>
      <c r="F17" s="19" t="n">
        <v>0.1</v>
      </c>
      <c r="G17" s="63" t="n">
        <f aca="false">E17*F17</f>
        <v>-30000</v>
      </c>
    </row>
    <row r="18" customFormat="false" ht="15" hidden="false" customHeight="false" outlineLevel="0" collapsed="false">
      <c r="A18" s="21" t="s">
        <v>305</v>
      </c>
      <c r="D18" s="64" t="n">
        <f aca="false">SUMPRODUCT(D14:D17,F14:F17)</f>
        <v>0.3325</v>
      </c>
      <c r="E18" s="65" t="n">
        <f aca="false">SUM(G14:G17)</f>
        <v>332500</v>
      </c>
    </row>
    <row r="21" customFormat="false" ht="15" hidden="false" customHeight="false" outlineLevel="0" collapsed="false">
      <c r="A21" s="41" t="s">
        <v>306</v>
      </c>
      <c r="B21" s="42"/>
      <c r="C21" s="42"/>
      <c r="D21" s="42"/>
      <c r="E21" s="42"/>
    </row>
    <row r="22" customFormat="false" ht="15" hidden="false" customHeight="false" outlineLevel="0" collapsed="false">
      <c r="A22" s="23" t="s">
        <v>307</v>
      </c>
      <c r="B22" s="43" t="n">
        <v>0.45</v>
      </c>
      <c r="C22" s="28" t="s">
        <v>308</v>
      </c>
    </row>
    <row r="23" customFormat="false" ht="15" hidden="false" customHeight="false" outlineLevel="0" collapsed="false">
      <c r="A23" s="23" t="s">
        <v>309</v>
      </c>
      <c r="B23" s="43" t="n">
        <v>0.35</v>
      </c>
      <c r="C23" s="28" t="s">
        <v>310</v>
      </c>
    </row>
    <row r="24" customFormat="false" ht="15" hidden="false" customHeight="false" outlineLevel="0" collapsed="false">
      <c r="A24" s="23" t="s">
        <v>311</v>
      </c>
      <c r="B24" s="43" t="n">
        <v>0.15</v>
      </c>
      <c r="C24" s="28" t="s">
        <v>312</v>
      </c>
    </row>
    <row r="25" customFormat="false" ht="15" hidden="false" customHeight="false" outlineLevel="0" collapsed="false">
      <c r="A25" s="23" t="s">
        <v>313</v>
      </c>
      <c r="B25" s="66" t="n">
        <f aca="false">SQRT(B22^2+B23^2-2*B24*B22*B23)</f>
        <v>0.527019923722054</v>
      </c>
      <c r="C25" s="28" t="n">
        <f aca="false">SQRT(B22^2 + B23^2 - 2*B24*B22*B23)</f>
        <v>0.527019923722054</v>
      </c>
    </row>
    <row r="26" customFormat="false" ht="15" hidden="false" customHeight="false" outlineLevel="0" collapsed="false">
      <c r="A26" s="23" t="s">
        <v>314</v>
      </c>
      <c r="B26" s="66" t="n">
        <f aca="false">D18</f>
        <v>0.3325</v>
      </c>
      <c r="C26" s="67" t="n">
        <f aca="false">D18</f>
        <v>0.3325</v>
      </c>
    </row>
    <row r="27" customFormat="false" ht="15" hidden="false" customHeight="false" outlineLevel="0" collapsed="false">
      <c r="A27" s="23" t="s">
        <v>315</v>
      </c>
      <c r="B27" s="68" t="n">
        <f aca="false">B26/B25</f>
        <v>0.630905939289228</v>
      </c>
      <c r="C27" s="28" t="n">
        <f aca="false">B26/B25</f>
        <v>0.630905939289228</v>
      </c>
    </row>
    <row r="28" customFormat="false" ht="15" hidden="false" customHeight="false" outlineLevel="0" collapsed="false">
      <c r="A28" s="23" t="s">
        <v>316</v>
      </c>
      <c r="B28" s="44" t="n">
        <f aca="false">D17</f>
        <v>-0.3</v>
      </c>
      <c r="C28" s="67" t="n">
        <f aca="false">D17</f>
        <v>-0.3</v>
      </c>
    </row>
    <row r="29" customFormat="false" ht="15" hidden="false" customHeight="false" outlineLevel="0" collapsed="false">
      <c r="A29" s="23" t="s">
        <v>317</v>
      </c>
      <c r="B29" s="43" t="n">
        <v>-0.2</v>
      </c>
      <c r="C29" s="28" t="s">
        <v>318</v>
      </c>
    </row>
    <row r="32" customFormat="false" ht="15" hidden="false" customHeight="false" outlineLevel="0" collapsed="false">
      <c r="A32" s="38" t="s">
        <v>319</v>
      </c>
    </row>
    <row r="33" customFormat="false" ht="15" hidden="false" customHeight="false" outlineLevel="0" collapsed="false">
      <c r="A33" s="15" t="s">
        <v>320</v>
      </c>
      <c r="B33" s="69" t="n">
        <v>-0.2</v>
      </c>
      <c r="C33" s="69" t="n">
        <v>-0.1</v>
      </c>
      <c r="D33" s="69" t="n">
        <v>0</v>
      </c>
      <c r="E33" s="69" t="n">
        <v>0.1</v>
      </c>
      <c r="F33" s="69" t="n">
        <v>0.2</v>
      </c>
    </row>
    <row r="34" customFormat="false" ht="15" hidden="false" customHeight="false" outlineLevel="0" collapsed="false">
      <c r="A34" s="15" t="s">
        <v>321</v>
      </c>
    </row>
    <row r="35" customFormat="false" ht="15" hidden="false" customHeight="false" outlineLevel="0" collapsed="false">
      <c r="A35" s="70" t="n">
        <v>-0.1</v>
      </c>
      <c r="B35" s="71" t="n">
        <v>0.1</v>
      </c>
      <c r="C35" s="71" t="n">
        <v>0</v>
      </c>
      <c r="D35" s="58" t="n">
        <v>-0.1</v>
      </c>
      <c r="E35" s="58" t="n">
        <v>-0.2</v>
      </c>
      <c r="F35" s="58" t="n">
        <v>-0.3</v>
      </c>
    </row>
    <row r="36" customFormat="false" ht="15" hidden="false" customHeight="false" outlineLevel="0" collapsed="false">
      <c r="A36" s="70" t="n">
        <v>0.1</v>
      </c>
      <c r="B36" s="53" t="n">
        <v>0.3</v>
      </c>
      <c r="C36" s="71" t="n">
        <v>0.2</v>
      </c>
      <c r="D36" s="71" t="n">
        <v>0.1</v>
      </c>
      <c r="E36" s="71" t="n">
        <v>0</v>
      </c>
      <c r="F36" s="58" t="n">
        <v>-0.1</v>
      </c>
    </row>
    <row r="37" customFormat="false" ht="15" hidden="false" customHeight="false" outlineLevel="0" collapsed="false">
      <c r="A37" s="70" t="n">
        <v>0.25</v>
      </c>
      <c r="B37" s="53" t="n">
        <v>0.45</v>
      </c>
      <c r="C37" s="53" t="n">
        <v>0.35</v>
      </c>
      <c r="D37" s="71" t="n">
        <v>0.25</v>
      </c>
      <c r="E37" s="71" t="n">
        <v>0.15</v>
      </c>
      <c r="F37" s="71" t="n">
        <v>0.05</v>
      </c>
    </row>
    <row r="38" customFormat="false" ht="15" hidden="false" customHeight="false" outlineLevel="0" collapsed="false">
      <c r="A38" s="70" t="n">
        <v>0.4</v>
      </c>
      <c r="B38" s="53" t="n">
        <v>0.6</v>
      </c>
      <c r="C38" s="53" t="n">
        <v>0.5</v>
      </c>
      <c r="D38" s="53" t="n">
        <v>0.4</v>
      </c>
      <c r="E38" s="53" t="n">
        <v>0.3</v>
      </c>
      <c r="F38" s="71" t="n">
        <v>0.2</v>
      </c>
    </row>
    <row r="39" customFormat="false" ht="15" hidden="false" customHeight="false" outlineLevel="0" collapsed="false">
      <c r="A39" s="70" t="n">
        <v>0.6</v>
      </c>
      <c r="B39" s="53" t="n">
        <v>0.8</v>
      </c>
      <c r="C39" s="53" t="n">
        <v>0.7</v>
      </c>
      <c r="D39" s="53" t="n">
        <v>0.6</v>
      </c>
      <c r="E39" s="53" t="n">
        <v>0.5</v>
      </c>
      <c r="F39" s="53" t="n">
        <v>0.4</v>
      </c>
    </row>
    <row r="40" customFormat="false" ht="15" hidden="false" customHeight="false" outlineLevel="0" collapsed="false">
      <c r="A40" s="70" t="n">
        <v>0.8</v>
      </c>
      <c r="B40" s="53" t="n">
        <v>1</v>
      </c>
      <c r="C40" s="53" t="n">
        <v>0.9</v>
      </c>
      <c r="D40" s="53" t="n">
        <v>0.8</v>
      </c>
      <c r="E40" s="53" t="n">
        <v>0.7</v>
      </c>
      <c r="F40" s="53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2" t="s">
        <v>323</v>
      </c>
    </row>
    <row r="4" customFormat="false" ht="15" hidden="false" customHeight="false" outlineLevel="0" collapsed="false">
      <c r="A4" s="3" t="s">
        <v>324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12" t="s">
        <v>325</v>
      </c>
      <c r="B5" s="12" t="s">
        <v>326</v>
      </c>
      <c r="C5" s="12" t="s">
        <v>327</v>
      </c>
      <c r="D5" s="12" t="s">
        <v>328</v>
      </c>
      <c r="E5" s="12" t="s">
        <v>329</v>
      </c>
      <c r="F5" s="12" t="s">
        <v>330</v>
      </c>
    </row>
    <row r="6" customFormat="false" ht="15" hidden="false" customHeight="false" outlineLevel="0" collapsed="false">
      <c r="A6" s="72" t="s">
        <v>331</v>
      </c>
      <c r="B6" s="6" t="s">
        <v>332</v>
      </c>
      <c r="C6" s="6" t="s">
        <v>333</v>
      </c>
      <c r="D6" s="6" t="s">
        <v>334</v>
      </c>
      <c r="E6" s="6" t="s">
        <v>335</v>
      </c>
      <c r="F6" s="6" t="s">
        <v>336</v>
      </c>
    </row>
    <row r="7" customFormat="false" ht="15" hidden="false" customHeight="false" outlineLevel="0" collapsed="false">
      <c r="A7" s="72" t="s">
        <v>337</v>
      </c>
      <c r="B7" s="6" t="s">
        <v>338</v>
      </c>
      <c r="C7" s="6" t="s">
        <v>339</v>
      </c>
      <c r="D7" s="6" t="s">
        <v>340</v>
      </c>
      <c r="E7" s="6" t="s">
        <v>341</v>
      </c>
      <c r="F7" s="6" t="s">
        <v>342</v>
      </c>
    </row>
    <row r="8" customFormat="false" ht="15" hidden="false" customHeight="false" outlineLevel="0" collapsed="false">
      <c r="A8" s="72" t="s">
        <v>343</v>
      </c>
      <c r="B8" s="6" t="s">
        <v>344</v>
      </c>
      <c r="C8" s="6" t="s">
        <v>345</v>
      </c>
      <c r="D8" s="6" t="s">
        <v>340</v>
      </c>
      <c r="E8" s="6" t="s">
        <v>346</v>
      </c>
      <c r="F8" s="6" t="s">
        <v>347</v>
      </c>
    </row>
    <row r="9" customFormat="false" ht="15" hidden="false" customHeight="false" outlineLevel="0" collapsed="false">
      <c r="A9" s="72" t="s">
        <v>348</v>
      </c>
      <c r="B9" s="6" t="s">
        <v>349</v>
      </c>
      <c r="C9" s="6" t="s">
        <v>350</v>
      </c>
      <c r="D9" s="6" t="s">
        <v>351</v>
      </c>
      <c r="E9" s="6" t="s">
        <v>352</v>
      </c>
      <c r="F9" s="6" t="s">
        <v>353</v>
      </c>
    </row>
    <row r="10" customFormat="false" ht="15" hidden="false" customHeight="false" outlineLevel="0" collapsed="false">
      <c r="A10" s="72" t="s">
        <v>354</v>
      </c>
      <c r="B10" s="6" t="s">
        <v>355</v>
      </c>
      <c r="C10" s="6" t="s">
        <v>356</v>
      </c>
      <c r="D10" s="6" t="s">
        <v>357</v>
      </c>
      <c r="E10" s="6" t="s">
        <v>358</v>
      </c>
      <c r="F10" s="6" t="s">
        <v>359</v>
      </c>
    </row>
    <row r="13" customFormat="false" ht="15" hidden="false" customHeight="false" outlineLevel="0" collapsed="false">
      <c r="A13" s="10" t="s">
        <v>360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2" t="s">
        <v>361</v>
      </c>
      <c r="B14" s="12" t="s">
        <v>362</v>
      </c>
      <c r="C14" s="12" t="s">
        <v>363</v>
      </c>
      <c r="D14" s="12" t="s">
        <v>34</v>
      </c>
      <c r="E14" s="12" t="s">
        <v>35</v>
      </c>
      <c r="F14" s="12" t="s">
        <v>364</v>
      </c>
      <c r="G14" s="12" t="s">
        <v>41</v>
      </c>
    </row>
    <row r="15" customFormat="false" ht="15" hidden="false" customHeight="false" outlineLevel="0" collapsed="false">
      <c r="A15" s="6" t="s">
        <v>365</v>
      </c>
      <c r="B15" s="6" t="s">
        <v>242</v>
      </c>
      <c r="C15" s="6" t="s">
        <v>47</v>
      </c>
      <c r="D15" s="6" t="s">
        <v>366</v>
      </c>
      <c r="E15" s="6" t="n">
        <v>3</v>
      </c>
      <c r="F15" s="14" t="n">
        <v>127</v>
      </c>
      <c r="G15" s="6" t="s">
        <v>367</v>
      </c>
    </row>
    <row r="16" customFormat="false" ht="15" hidden="false" customHeight="false" outlineLevel="0" collapsed="false">
      <c r="A16" s="6" t="s">
        <v>368</v>
      </c>
      <c r="B16" s="6" t="s">
        <v>261</v>
      </c>
      <c r="C16" s="6" t="s">
        <v>369</v>
      </c>
      <c r="D16" s="6" t="s">
        <v>370</v>
      </c>
      <c r="E16" s="6" t="n">
        <v>2</v>
      </c>
      <c r="F16" s="14" t="n">
        <v>200</v>
      </c>
      <c r="G16" s="6" t="s">
        <v>371</v>
      </c>
    </row>
    <row r="17" customFormat="false" ht="15" hidden="false" customHeight="false" outlineLevel="0" collapsed="false">
      <c r="A17" s="6" t="s">
        <v>372</v>
      </c>
      <c r="B17" s="6" t="s">
        <v>242</v>
      </c>
      <c r="C17" s="6" t="s">
        <v>373</v>
      </c>
      <c r="D17" s="6" t="s">
        <v>366</v>
      </c>
      <c r="E17" s="6" t="n">
        <v>20</v>
      </c>
      <c r="F17" s="14" t="n">
        <v>845</v>
      </c>
      <c r="G17" s="6" t="s">
        <v>374</v>
      </c>
    </row>
    <row r="18" customFormat="false" ht="15" hidden="false" customHeight="false" outlineLevel="0" collapsed="false">
      <c r="A18" s="6" t="s">
        <v>372</v>
      </c>
      <c r="B18" s="6" t="s">
        <v>269</v>
      </c>
      <c r="C18" s="6" t="s">
        <v>375</v>
      </c>
      <c r="D18" s="6" t="s">
        <v>376</v>
      </c>
      <c r="E18" s="6" t="n">
        <v>4</v>
      </c>
      <c r="F18" s="14" t="n">
        <v>180</v>
      </c>
      <c r="G18" s="6" t="s">
        <v>377</v>
      </c>
    </row>
    <row r="19" customFormat="false" ht="15" hidden="false" customHeight="false" outlineLevel="0" collapsed="false">
      <c r="A19" s="6" t="s">
        <v>378</v>
      </c>
      <c r="B19" s="6" t="s">
        <v>242</v>
      </c>
      <c r="C19" s="6" t="s">
        <v>379</v>
      </c>
      <c r="D19" s="6" t="s">
        <v>366</v>
      </c>
      <c r="E19" s="6" t="n">
        <v>6</v>
      </c>
      <c r="F19" s="14" t="n">
        <v>253</v>
      </c>
      <c r="G19" s="6" t="s">
        <v>380</v>
      </c>
    </row>
    <row r="20" customFormat="false" ht="15" hidden="false" customHeight="false" outlineLevel="0" collapsed="false">
      <c r="A20" s="6" t="s">
        <v>378</v>
      </c>
      <c r="B20" s="6" t="s">
        <v>242</v>
      </c>
      <c r="C20" s="6" t="s">
        <v>381</v>
      </c>
      <c r="D20" s="6" t="s">
        <v>366</v>
      </c>
      <c r="E20" s="6" t="n">
        <v>10</v>
      </c>
      <c r="F20" s="14" t="n">
        <v>422</v>
      </c>
      <c r="G20" s="6" t="s">
        <v>382</v>
      </c>
    </row>
    <row r="23" customFormat="false" ht="15" hidden="false" customHeight="false" outlineLevel="0" collapsed="false">
      <c r="A23" s="10" t="s">
        <v>383</v>
      </c>
    </row>
    <row r="24" customFormat="false" ht="15" hidden="false" customHeight="false" outlineLevel="0" collapsed="false">
      <c r="A24" s="23" t="s">
        <v>384</v>
      </c>
    </row>
    <row r="25" customFormat="false" ht="15" hidden="false" customHeight="false" outlineLevel="0" collapsed="false">
      <c r="A25" s="23" t="s">
        <v>385</v>
      </c>
    </row>
    <row r="26" customFormat="false" ht="15" hidden="false" customHeight="false" outlineLevel="0" collapsed="false">
      <c r="A26" s="23" t="s">
        <v>386</v>
      </c>
    </row>
    <row r="27" customFormat="false" ht="15" hidden="false" customHeight="false" outlineLevel="0" collapsed="false">
      <c r="A27" s="23" t="s">
        <v>387</v>
      </c>
    </row>
    <row r="28" customFormat="false" ht="15" hidden="false" customHeight="false" outlineLevel="0" collapsed="false">
      <c r="A28" s="23" t="s">
        <v>388</v>
      </c>
    </row>
    <row r="29" customFormat="false" ht="15" hidden="false" customHeight="false" outlineLevel="0" collapsed="false">
      <c r="A29" s="23" t="s">
        <v>389</v>
      </c>
    </row>
    <row r="31" customFormat="false" ht="15" hidden="false" customHeight="false" outlineLevel="0" collapsed="false">
      <c r="A31" s="41" t="s">
        <v>390</v>
      </c>
    </row>
    <row r="32" customFormat="false" ht="15" hidden="false" customHeight="false" outlineLevel="0" collapsed="false">
      <c r="A32" s="23" t="s">
        <v>391</v>
      </c>
    </row>
    <row r="33" customFormat="false" ht="15" hidden="false" customHeight="false" outlineLevel="0" collapsed="false">
      <c r="A33" s="23" t="s">
        <v>392</v>
      </c>
    </row>
    <row r="34" customFormat="false" ht="15" hidden="false" customHeight="false" outlineLevel="0" collapsed="false">
      <c r="A34" s="23" t="s">
        <v>393</v>
      </c>
    </row>
    <row r="35" customFormat="false" ht="15" hidden="false" customHeight="false" outlineLevel="0" collapsed="false">
      <c r="A35" s="23" t="s">
        <v>394</v>
      </c>
    </row>
    <row r="36" customFormat="false" ht="15" hidden="false" customHeight="false" outlineLevel="0" collapsed="false">
      <c r="A36" s="23" t="s">
        <v>395</v>
      </c>
    </row>
    <row r="37" customFormat="false" ht="15" hidden="false" customHeight="false" outlineLevel="0" collapsed="false">
      <c r="A37" s="23" t="s">
        <v>396</v>
      </c>
    </row>
    <row r="38" customFormat="false" ht="15" hidden="false" customHeight="false" outlineLevel="0" collapsed="false">
      <c r="A38" s="23" t="s">
        <v>397</v>
      </c>
    </row>
    <row r="39" customFormat="false" ht="15" hidden="false" customHeight="false" outlineLevel="0" collapsed="false">
      <c r="A39" s="23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5"/>
    <col collapsed="false" customWidth="true" hidden="false" outlineLevel="0" max="5" min="4" style="0" width="1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399</v>
      </c>
    </row>
    <row r="3" customFormat="false" ht="15" hidden="false" customHeight="false" outlineLevel="0" collapsed="false">
      <c r="A3" s="12" t="s">
        <v>400</v>
      </c>
      <c r="B3" s="12" t="s">
        <v>401</v>
      </c>
      <c r="C3" s="12" t="s">
        <v>402</v>
      </c>
      <c r="D3" s="12" t="s">
        <v>403</v>
      </c>
      <c r="E3" s="12" t="s">
        <v>404</v>
      </c>
    </row>
    <row r="4" customFormat="false" ht="15" hidden="false" customHeight="false" outlineLevel="0" collapsed="false">
      <c r="A4" s="6" t="s">
        <v>405</v>
      </c>
      <c r="B4" s="6" t="s">
        <v>406</v>
      </c>
      <c r="C4" s="6" t="s">
        <v>407</v>
      </c>
      <c r="D4" s="49" t="s">
        <v>408</v>
      </c>
      <c r="E4" s="6" t="s">
        <v>409</v>
      </c>
    </row>
    <row r="5" customFormat="false" ht="15" hidden="false" customHeight="false" outlineLevel="0" collapsed="false">
      <c r="A5" s="6" t="s">
        <v>410</v>
      </c>
      <c r="B5" s="6" t="s">
        <v>411</v>
      </c>
      <c r="C5" s="6" t="s">
        <v>412</v>
      </c>
      <c r="D5" s="49" t="s">
        <v>408</v>
      </c>
      <c r="E5" s="6" t="s">
        <v>409</v>
      </c>
    </row>
    <row r="6" customFormat="false" ht="15" hidden="false" customHeight="false" outlineLevel="0" collapsed="false">
      <c r="A6" s="6" t="s">
        <v>410</v>
      </c>
      <c r="B6" s="6" t="s">
        <v>413</v>
      </c>
      <c r="C6" s="6" t="s">
        <v>414</v>
      </c>
      <c r="D6" s="6" t="s">
        <v>409</v>
      </c>
      <c r="E6" s="54" t="s">
        <v>415</v>
      </c>
    </row>
    <row r="7" customFormat="false" ht="15" hidden="false" customHeight="false" outlineLevel="0" collapsed="false">
      <c r="A7" s="6" t="s">
        <v>416</v>
      </c>
      <c r="B7" s="6" t="s">
        <v>417</v>
      </c>
      <c r="C7" s="6" t="s">
        <v>418</v>
      </c>
      <c r="D7" s="49" t="s">
        <v>408</v>
      </c>
      <c r="E7" s="54" t="s">
        <v>419</v>
      </c>
    </row>
    <row r="8" customFormat="false" ht="15" hidden="false" customHeight="false" outlineLevel="0" collapsed="false">
      <c r="A8" s="6" t="s">
        <v>416</v>
      </c>
      <c r="B8" s="6" t="s">
        <v>420</v>
      </c>
      <c r="C8" s="6" t="s">
        <v>421</v>
      </c>
      <c r="D8" s="49" t="s">
        <v>408</v>
      </c>
      <c r="E8" s="6" t="s">
        <v>409</v>
      </c>
    </row>
    <row r="9" customFormat="false" ht="15" hidden="false" customHeight="false" outlineLevel="0" collapsed="false">
      <c r="A9" s="6" t="s">
        <v>422</v>
      </c>
      <c r="B9" s="6" t="s">
        <v>423</v>
      </c>
      <c r="C9" s="6" t="s">
        <v>424</v>
      </c>
      <c r="D9" s="6" t="s">
        <v>409</v>
      </c>
      <c r="E9" s="73" t="s">
        <v>425</v>
      </c>
    </row>
    <row r="10" customFormat="false" ht="15" hidden="false" customHeight="false" outlineLevel="0" collapsed="false">
      <c r="A10" s="6" t="s">
        <v>422</v>
      </c>
      <c r="B10" s="6" t="s">
        <v>426</v>
      </c>
      <c r="C10" s="6" t="s">
        <v>427</v>
      </c>
      <c r="D10" s="49" t="s">
        <v>408</v>
      </c>
      <c r="E10" s="6" t="s">
        <v>409</v>
      </c>
    </row>
    <row r="11" customFormat="false" ht="15" hidden="false" customHeight="false" outlineLevel="0" collapsed="false">
      <c r="A11" s="6" t="s">
        <v>428</v>
      </c>
      <c r="B11" s="6" t="s">
        <v>429</v>
      </c>
      <c r="C11" s="6" t="s">
        <v>430</v>
      </c>
      <c r="D11" s="49" t="s">
        <v>408</v>
      </c>
      <c r="E11" s="73" t="s">
        <v>408</v>
      </c>
    </row>
    <row r="12" customFormat="false" ht="15" hidden="false" customHeight="false" outlineLevel="0" collapsed="false">
      <c r="A12" s="6" t="s">
        <v>45</v>
      </c>
      <c r="B12" s="6" t="s">
        <v>431</v>
      </c>
      <c r="C12" s="6" t="s">
        <v>432</v>
      </c>
      <c r="D12" s="49" t="s">
        <v>433</v>
      </c>
      <c r="E12" s="54" t="s">
        <v>419</v>
      </c>
    </row>
    <row r="13" customFormat="false" ht="15" hidden="false" customHeight="false" outlineLevel="0" collapsed="false">
      <c r="A13" s="6" t="s">
        <v>45</v>
      </c>
      <c r="B13" s="6" t="s">
        <v>434</v>
      </c>
      <c r="C13" s="6" t="s">
        <v>435</v>
      </c>
      <c r="D13" s="6" t="s">
        <v>409</v>
      </c>
      <c r="E13" s="54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2026-03-16T22:28:00Z</dcterms:created>
  <dc:creator>openpyxl</dc:creator>
  <dc:description/>
  <dc:language>en-US</dc:language>
  <cp:lastModifiedBy/>
  <dcterms:modified xsi:type="dcterms:W3CDTF">2026-03-16T22:28:00Z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